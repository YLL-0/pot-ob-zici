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50" sheetId="1" state="visible" r:id="rId1"/>
    <sheet xmlns:r="http://schemas.openxmlformats.org/officeDocument/2006/relationships" name="Nastavitve" sheetId="2" state="visible" r:id="rId2"/>
    <sheet xmlns:r="http://schemas.openxmlformats.org/officeDocument/2006/relationships" name="Šifranti" sheetId="3" state="visible" r:id="rId3"/>
    <sheet xmlns:r="http://schemas.openxmlformats.org/officeDocument/2006/relationships" name="Etape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Navodila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color rgb="FF5A263A"/>
      <sz val="11"/>
    </font>
    <font>
      <name val="Carlito"/>
      <b val="1"/>
      <color rgb="FFFFFFFF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7F1734"/>
      </patternFill>
    </fill>
    <fill>
      <patternFill patternType="solid">
        <fgColor rgb="FFF6E8ED"/>
      </patternFill>
    </fill>
    <fill>
      <patternFill patternType="solid">
        <fgColor rgb="FFA61E4D"/>
      </patternFill>
    </fill>
    <fill>
      <patternFill patternType="solid">
        <fgColor rgb="FFF2D7E1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/>
  </cellStyles>
  <dxfs count="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Število točk po etapah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Št. točk</v>
          </tx>
          <spPr>
            <a:ln xmlns:a="http://schemas.openxmlformats.org/drawingml/2006/main">
              <a:prstDash val="solid"/>
            </a:ln>
          </spPr>
          <cat>
            <strRef>
              <f>'Dashboard'!$D$4:$D$11</f>
              <strCache>
                <ptCount val="0"/>
              </strCache>
            </strRef>
          </cat>
          <val>
            <numRef>
              <f>'Dashboard'!$E$4:$E$11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12</row>
      <rowOff>0</rowOff>
    </from>
    <to>
      <col>11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asterObelezja" displayName="MasterObelezja" ref="A4:AH54" headerRowCount="1" totalsRowCount="0" totalsRowShown="0">
  <tableColumns count="34">
    <tableColumn id="1" name="ID"/>
    <tableColumn id="2" name="Etapa"/>
    <tableColumn id="3" name="Odsek"/>
    <tableColumn id="4" name="Vključitev"/>
    <tableColumn id="5" name="Naziv obeležja"/>
    <tableColumn id="6" name="Kraj / območje"/>
    <tableColumn id="7" name="Vrsta obeležja"/>
    <tableColumn id="8" name="GPS lat"/>
    <tableColumn id="9" name="GPS lon"/>
    <tableColumn id="10" name="GPS status"/>
    <tableColumn id="11" name="EŠD"/>
    <tableColumn id="12" name="EŠD status"/>
    <tableColumn id="13" name="Kratka vsebinska iztočnica"/>
    <tableColumn id="14" name="Ključna tema / osebe"/>
    <tableColumn id="15" name="Vir 1"/>
    <tableColumn id="16" name="Vir 2"/>
    <tableColumn id="17" name="Današnja foto"/>
    <tableColumn id="18" name="Arhivska foto"/>
    <tableColumn id="19" name="Pravice fotografij"/>
    <tableColumn id="20" name="Kratko besedilo 800–1200 znakov"/>
    <tableColumn id="21" name="Poglobljeno besedilo"/>
    <tableColumn id="22" name="Video"/>
    <tableColumn id="23" name="Avdio / podkast"/>
    <tableColumn id="24" name="Kviz – 5 vprašanj"/>
    <tableColumn id="25" name="QR URL"/>
    <tableColumn id="26" name="QR generiran?"/>
    <tableColumn id="27" name="QR tablica nameščena?"/>
    <tableColumn id="28" name="Dovoljenje za QR"/>
    <tableColumn id="29" name="Strokovna verifikacija"/>
    <tableColumn id="30" name="Status izvedbe"/>
    <tableColumn id="31" name="Odgovorna oseba"/>
    <tableColumn id="32" name="Rok"/>
    <tableColumn id="33" name="Napredek %"/>
    <tableColumn id="34" name="Opom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4" customWidth="1" min="4" max="4"/>
    <col width="38" customWidth="1" min="5" max="5"/>
    <col width="22" customWidth="1" min="6" max="6"/>
    <col width="22" customWidth="1" min="7" max="7"/>
    <col width="12" customWidth="1" min="8" max="8"/>
    <col width="12" customWidth="1" min="9" max="9"/>
    <col width="15" customWidth="1" min="10" max="10"/>
    <col width="11" customWidth="1" min="11" max="11"/>
    <col width="15" customWidth="1" min="12" max="12"/>
    <col width="42" customWidth="1" min="13" max="13"/>
    <col width="30" customWidth="1" min="14" max="14"/>
    <col width="34" customWidth="1" min="15" max="15"/>
    <col width="34" customWidth="1" min="16" max="16"/>
    <col width="14" customWidth="1" min="17" max="17"/>
    <col width="14" customWidth="1" min="18" max="18"/>
    <col width="18" customWidth="1" min="19" max="19"/>
    <col width="22" customWidth="1" min="20" max="20"/>
    <col width="20" customWidth="1" min="21" max="21"/>
    <col width="14" customWidth="1" min="22" max="22"/>
    <col width="16" customWidth="1" min="23" max="23"/>
    <col width="16" customWidth="1" min="24" max="24"/>
    <col width="30" customWidth="1" min="25" max="25"/>
    <col width="14" customWidth="1" min="26" max="26"/>
    <col width="18" customWidth="1" min="27" max="27"/>
    <col width="19" customWidth="1" min="28" max="28"/>
    <col width="20" customWidth="1" min="29" max="29"/>
    <col width="22" customWidth="1" min="30" max="30"/>
    <col width="18" customWidth="1" min="31" max="31"/>
    <col width="13" customWidth="1" min="32" max="32"/>
    <col width="13" customWidth="1" min="33" max="33"/>
    <col width="34" customWidth="1" min="34" max="34"/>
  </cols>
  <sheetData>
    <row r="1" ht="30" customHeight="1">
      <c r="A1" s="9" t="inlineStr">
        <is>
          <t>AKTIVNOST 1 – DIGITALIZACIJA POTI OB ŽICI: MASTER EVIDENCA 50 SPOMINSKIH OBELEŽIJ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34" customHeight="1">
      <c r="A2" s="17" t="inlineStr">
        <is>
          <t>Delovna verzija V2. GPS koordinate so vnesene kot IZhodiščNI PRIBLIŽEK na osnovi javno dostopnih lokacijskih podatkov in prostorske presoje; pred objavo in namestitvijo QR-tablic jih je treba terensko uskladiti in strokovno preveriti.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4" ht="52" customHeight="1">
      <c r="A4" s="22" t="inlineStr">
        <is>
          <t>ID</t>
        </is>
      </c>
      <c r="B4" s="22" t="inlineStr">
        <is>
          <t>Etapa</t>
        </is>
      </c>
      <c r="C4" s="22" t="inlineStr">
        <is>
          <t>Odsek</t>
        </is>
      </c>
      <c r="D4" s="22" t="inlineStr">
        <is>
          <t>Vključitev</t>
        </is>
      </c>
      <c r="E4" s="22" t="inlineStr">
        <is>
          <t>Naziv obeležja</t>
        </is>
      </c>
      <c r="F4" s="22" t="inlineStr">
        <is>
          <t>Kraj / območje</t>
        </is>
      </c>
      <c r="G4" s="22" t="inlineStr">
        <is>
          <t>Vrsta obeležja</t>
        </is>
      </c>
      <c r="H4" s="22" t="inlineStr">
        <is>
          <t>GPS lat</t>
        </is>
      </c>
      <c r="I4" s="22" t="inlineStr">
        <is>
          <t>GPS lon</t>
        </is>
      </c>
      <c r="J4" s="22" t="inlineStr">
        <is>
          <t>GPS status</t>
        </is>
      </c>
      <c r="K4" s="22" t="inlineStr">
        <is>
          <t>EŠD</t>
        </is>
      </c>
      <c r="L4" s="22" t="inlineStr">
        <is>
          <t>EŠD status</t>
        </is>
      </c>
      <c r="M4" s="22" t="inlineStr">
        <is>
          <t>Kratka vsebinska iztočnica</t>
        </is>
      </c>
      <c r="N4" s="22" t="inlineStr">
        <is>
          <t>Ključna tema / osebe</t>
        </is>
      </c>
      <c r="O4" s="22" t="inlineStr">
        <is>
          <t>Vir 1</t>
        </is>
      </c>
      <c r="P4" s="22" t="inlineStr">
        <is>
          <t>Vir 2</t>
        </is>
      </c>
      <c r="Q4" s="22" t="inlineStr">
        <is>
          <t>Današnja foto</t>
        </is>
      </c>
      <c r="R4" s="22" t="inlineStr">
        <is>
          <t>Arhivska foto</t>
        </is>
      </c>
      <c r="S4" s="22" t="inlineStr">
        <is>
          <t>Pravice fotografij</t>
        </is>
      </c>
      <c r="T4" s="22" t="inlineStr">
        <is>
          <t>Kratko besedilo 800–1200 znakov</t>
        </is>
      </c>
      <c r="U4" s="22" t="inlineStr">
        <is>
          <t>Poglobljeno besedilo</t>
        </is>
      </c>
      <c r="V4" s="22" t="inlineStr">
        <is>
          <t>Video</t>
        </is>
      </c>
      <c r="W4" s="22" t="inlineStr">
        <is>
          <t>Avdio / podkast</t>
        </is>
      </c>
      <c r="X4" s="22" t="inlineStr">
        <is>
          <t>Kviz – 5 vprašanj</t>
        </is>
      </c>
      <c r="Y4" s="22" t="inlineStr">
        <is>
          <t>QR URL</t>
        </is>
      </c>
      <c r="Z4" s="22" t="inlineStr">
        <is>
          <t>QR generiran?</t>
        </is>
      </c>
      <c r="AA4" s="22" t="inlineStr">
        <is>
          <t>QR tablica nameščena?</t>
        </is>
      </c>
      <c r="AB4" s="22" t="inlineStr">
        <is>
          <t>Dovoljenje za QR</t>
        </is>
      </c>
      <c r="AC4" s="22" t="inlineStr">
        <is>
          <t>Strokovna verifikacija</t>
        </is>
      </c>
      <c r="AD4" s="22" t="inlineStr">
        <is>
          <t>Status izvedbe</t>
        </is>
      </c>
      <c r="AE4" s="22" t="inlineStr">
        <is>
          <t>Odgovorna oseba</t>
        </is>
      </c>
      <c r="AF4" s="22" t="inlineStr">
        <is>
          <t>Rok</t>
        </is>
      </c>
      <c r="AG4" s="22" t="inlineStr">
        <is>
          <t>Napredek %</t>
        </is>
      </c>
      <c r="AH4" s="22" t="inlineStr">
        <is>
          <t>Opombe</t>
        </is>
      </c>
    </row>
    <row r="5">
      <c r="A5" s="38" t="inlineStr">
        <is>
          <t>NMZ-001</t>
        </is>
      </c>
      <c r="B5" s="38" t="n">
        <v>7</v>
      </c>
      <c r="C5" s="38" t="inlineStr">
        <is>
          <t>Šmihel – Drska</t>
        </is>
      </c>
      <c r="D5" s="38" t="inlineStr">
        <is>
          <t>Osnovna pot</t>
        </is>
      </c>
      <c r="E5" s="38" t="inlineStr">
        <is>
          <t>Bunker na Drski</t>
        </is>
      </c>
      <c r="F5" s="38" t="inlineStr">
        <is>
          <t>Drska</t>
        </is>
      </c>
      <c r="G5" s="38" t="inlineStr">
        <is>
          <t>Bunker / obrambni objekt</t>
        </is>
      </c>
      <c r="H5" s="38" t="n">
        <v>45.7957</v>
      </c>
      <c r="I5" s="38" t="n">
        <v>15.1617</v>
      </c>
      <c r="J5" s="38" t="inlineStr">
        <is>
          <t>Izhodiščni približek – terensko uskladiti</t>
        </is>
      </c>
      <c r="K5" s="38" t="str"/>
      <c r="L5" s="38" t="inlineStr">
        <is>
          <t>Za preverjanje</t>
        </is>
      </c>
      <c r="M5" s="38" t="inlineStr">
        <is>
          <t>Ohranjeni obrambni objekt, povezan z okupacijskim obročem okoli Novega mesta.</t>
        </is>
      </c>
      <c r="N5" s="38" t="inlineStr">
        <is>
          <t>Mesto v žici; okupacijski obrambni sistem</t>
        </is>
      </c>
      <c r="O5" s="38" t="inlineStr">
        <is>
          <t>https://www.zb-nob-nm.si/wp-content/uploads/2019/08/Novo-mesto-v-zici-Zlozenka.pdf</t>
        </is>
      </c>
      <c r="P5" s="38" t="inlineStr">
        <is>
          <t>https://partizanstvo.si/sl/podrobno/partizanskispomenik/6875/</t>
        </is>
      </c>
      <c r="Q5" s="38" t="inlineStr">
        <is>
          <t>Ni začeto</t>
        </is>
      </c>
      <c r="R5" s="38" t="inlineStr">
        <is>
          <t>Ni začeto</t>
        </is>
      </c>
      <c r="S5" s="38" t="inlineStr">
        <is>
          <t>Ni začeto</t>
        </is>
      </c>
      <c r="T5" s="38" t="inlineStr">
        <is>
          <t>Ni začeto</t>
        </is>
      </c>
      <c r="U5" s="38" t="inlineStr">
        <is>
          <t>Ni začeto</t>
        </is>
      </c>
      <c r="V5" s="38" t="inlineStr">
        <is>
          <t>Ni začeto</t>
        </is>
      </c>
      <c r="W5" s="38" t="inlineStr">
        <is>
          <t>Ni začeto</t>
        </is>
      </c>
      <c r="X5" s="38" t="inlineStr">
        <is>
          <t>Ni začeto</t>
        </is>
      </c>
      <c r="Y5" s="38">
        <f>IF(A5="","",Nastavitve!$B$2&amp;LOWER(A5))</f>
        <v/>
      </c>
      <c r="Z5" s="38" t="inlineStr">
        <is>
          <t>Ne</t>
        </is>
      </c>
      <c r="AA5" s="38" t="inlineStr">
        <is>
          <t>Ne</t>
        </is>
      </c>
      <c r="AB5" s="38" t="inlineStr">
        <is>
          <t>Za preverjanje</t>
        </is>
      </c>
      <c r="AC5" s="38" t="inlineStr">
        <is>
          <t>Za preverjanje</t>
        </is>
      </c>
      <c r="AD5" s="38" t="inlineStr">
        <is>
          <t>Predlog – preveriti</t>
        </is>
      </c>
      <c r="AE5" s="38" t="str"/>
      <c r="AF5" s="52" t="n"/>
      <c r="AG5" s="53">
        <f>ROUND((COUNTIF(Q5:X5,"Končano")+IF(Z5="Da",1,0)+IF(AA5="Da",1,0)+IF(AC5="Potrjeno",1,0))/11,2)</f>
        <v/>
      </c>
      <c r="AH5" s="38" t="str"/>
    </row>
    <row r="6">
      <c r="A6" s="38" t="inlineStr">
        <is>
          <t>NMZ-002</t>
        </is>
      </c>
      <c r="B6" s="38" t="n">
        <v>4</v>
      </c>
      <c r="C6" s="38" t="inlineStr">
        <is>
          <t>Ragovo – Žabja vas</t>
        </is>
      </c>
      <c r="D6" s="38" t="inlineStr">
        <is>
          <t>Osnovna pot / bližina</t>
        </is>
      </c>
      <c r="E6" s="38" t="inlineStr">
        <is>
          <t>Spomenik padlim domačinom – Drejčetova pot</t>
        </is>
      </c>
      <c r="F6" s="38" t="inlineStr">
        <is>
          <t>Žabja vas</t>
        </is>
      </c>
      <c r="G6" s="38" t="inlineStr">
        <is>
          <t>Spomenik</t>
        </is>
      </c>
      <c r="H6" s="38" t="n">
        <v>45.7918</v>
      </c>
      <c r="I6" s="38" t="n">
        <v>15.1715</v>
      </c>
      <c r="J6" s="38" t="inlineStr">
        <is>
          <t>Izhodiščni približek – terensko uskladiti</t>
        </is>
      </c>
      <c r="K6" s="38" t="inlineStr">
        <is>
          <t>15659</t>
        </is>
      </c>
      <c r="L6" s="38" t="inlineStr">
        <is>
          <t>Vpisano</t>
        </is>
      </c>
      <c r="M6" s="38" t="inlineStr">
        <is>
          <t>Spomenik padlim domačinom na območju Žabje vasi.</t>
        </is>
      </c>
      <c r="N6" s="38" t="inlineStr">
        <is>
          <t>Lokalne žrtve NOB</t>
        </is>
      </c>
      <c r="O6" s="38" t="inlineStr">
        <is>
          <t>https://partizanstvo.si/</t>
        </is>
      </c>
      <c r="P6" s="38" t="inlineStr">
        <is>
          <t>https://www.novomesto.si/dolenjski-uradni-list/dul-objave/2017110308141094/odlok_o_razglasitvi__nepremicnih_kulturnih_spomenikov_lokalnega_pomena_na_obmocju_mestne_obcine_novo_mesto/</t>
        </is>
      </c>
      <c r="Q6" s="38" t="inlineStr">
        <is>
          <t>Ni začeto</t>
        </is>
      </c>
      <c r="R6" s="38" t="inlineStr">
        <is>
          <t>Ni začeto</t>
        </is>
      </c>
      <c r="S6" s="38" t="inlineStr">
        <is>
          <t>Ni začeto</t>
        </is>
      </c>
      <c r="T6" s="38" t="inlineStr">
        <is>
          <t>Ni začeto</t>
        </is>
      </c>
      <c r="U6" s="38" t="inlineStr">
        <is>
          <t>Ni začeto</t>
        </is>
      </c>
      <c r="V6" s="38" t="inlineStr">
        <is>
          <t>Ni začeto</t>
        </is>
      </c>
      <c r="W6" s="38" t="inlineStr">
        <is>
          <t>Ni začeto</t>
        </is>
      </c>
      <c r="X6" s="38" t="inlineStr">
        <is>
          <t>Ni začeto</t>
        </is>
      </c>
      <c r="Y6" s="38">
        <f>IF(A6="","",Nastavitve!$B$2&amp;LOWER(A6))</f>
        <v/>
      </c>
      <c r="Z6" s="38" t="inlineStr">
        <is>
          <t>Ne</t>
        </is>
      </c>
      <c r="AA6" s="38" t="inlineStr">
        <is>
          <t>Ne</t>
        </is>
      </c>
      <c r="AB6" s="38" t="inlineStr">
        <is>
          <t>Za preverjanje</t>
        </is>
      </c>
      <c r="AC6" s="38" t="inlineStr">
        <is>
          <t>Za preverjanje</t>
        </is>
      </c>
      <c r="AD6" s="38" t="inlineStr">
        <is>
          <t>Predlog – preveriti</t>
        </is>
      </c>
      <c r="AE6" s="38" t="str"/>
      <c r="AF6" s="52" t="n"/>
      <c r="AG6" s="53">
        <f>ROUND((COUNTIF(Q6:X6,"Končano")+IF(Z6="Da",1,0)+IF(AA6="Da",1,0)+IF(AC6="Potrjeno",1,0))/11,2)</f>
        <v/>
      </c>
      <c r="AH6" s="38" t="str"/>
    </row>
    <row r="7">
      <c r="A7" s="38" t="inlineStr">
        <is>
          <t>NMZ-003</t>
        </is>
      </c>
      <c r="B7" s="38" t="n">
        <v>4</v>
      </c>
      <c r="C7" s="38" t="inlineStr">
        <is>
          <t>Ragovo – Žabja vas</t>
        </is>
      </c>
      <c r="D7" s="38" t="inlineStr">
        <is>
          <t>Osnovna pot / bližina</t>
        </is>
      </c>
      <c r="E7" s="38" t="inlineStr">
        <is>
          <t>Grobnica padlih med NOB v Žabji vasi</t>
        </is>
      </c>
      <c r="F7" s="38" t="inlineStr">
        <is>
          <t>Žabja vas</t>
        </is>
      </c>
      <c r="G7" s="38" t="inlineStr">
        <is>
          <t>Grobnica</t>
        </is>
      </c>
      <c r="H7" s="38" t="n">
        <v>45.7909</v>
      </c>
      <c r="I7" s="38" t="n">
        <v>15.1706</v>
      </c>
      <c r="J7" s="38" t="inlineStr">
        <is>
          <t>Izhodiščni približek – terensko uskladiti</t>
        </is>
      </c>
      <c r="K7" s="38" t="inlineStr">
        <is>
          <t>4216</t>
        </is>
      </c>
      <c r="L7" s="38" t="inlineStr">
        <is>
          <t>Vpisano</t>
        </is>
      </c>
      <c r="M7" s="38" t="inlineStr">
        <is>
          <t>Grobnica padlih med NOB.</t>
        </is>
      </c>
      <c r="N7" s="38" t="inlineStr">
        <is>
          <t>Padli borci NOB</t>
        </is>
      </c>
      <c r="O7" s="38" t="inlineStr">
        <is>
          <t>https://partizanstvo.si/</t>
        </is>
      </c>
      <c r="P7" s="38" t="inlineStr">
        <is>
          <t>https://www.novomesto.si/dolenjski-uradni-list/dul-objave/2017110308141094/odlok_o_razglasitvi__nepremicnih_kulturnih_spomenikov_lokalnega_pomena_na_obmocju_mestne_obcine_novo_mesto/</t>
        </is>
      </c>
      <c r="Q7" s="38" t="inlineStr">
        <is>
          <t>Ni začeto</t>
        </is>
      </c>
      <c r="R7" s="38" t="inlineStr">
        <is>
          <t>Ni začeto</t>
        </is>
      </c>
      <c r="S7" s="38" t="inlineStr">
        <is>
          <t>Ni začeto</t>
        </is>
      </c>
      <c r="T7" s="38" t="inlineStr">
        <is>
          <t>Ni začeto</t>
        </is>
      </c>
      <c r="U7" s="38" t="inlineStr">
        <is>
          <t>Ni začeto</t>
        </is>
      </c>
      <c r="V7" s="38" t="inlineStr">
        <is>
          <t>Ni začeto</t>
        </is>
      </c>
      <c r="W7" s="38" t="inlineStr">
        <is>
          <t>Ni začeto</t>
        </is>
      </c>
      <c r="X7" s="38" t="inlineStr">
        <is>
          <t>Ni začeto</t>
        </is>
      </c>
      <c r="Y7" s="38">
        <f>IF(A7="","",Nastavitve!$B$2&amp;LOWER(A7))</f>
        <v/>
      </c>
      <c r="Z7" s="38" t="inlineStr">
        <is>
          <t>Ne</t>
        </is>
      </c>
      <c r="AA7" s="38" t="inlineStr">
        <is>
          <t>Ne</t>
        </is>
      </c>
      <c r="AB7" s="38" t="inlineStr">
        <is>
          <t>Za preverjanje</t>
        </is>
      </c>
      <c r="AC7" s="38" t="inlineStr">
        <is>
          <t>Za preverjanje</t>
        </is>
      </c>
      <c r="AD7" s="38" t="inlineStr">
        <is>
          <t>Predlog – preveriti</t>
        </is>
      </c>
      <c r="AE7" s="38" t="str"/>
      <c r="AF7" s="52" t="n"/>
      <c r="AG7" s="53">
        <f>ROUND((COUNTIF(Q7:X7,"Končano")+IF(Z7="Da",1,0)+IF(AA7="Da",1,0)+IF(AC7="Potrjeno",1,0))/11,2)</f>
        <v/>
      </c>
      <c r="AH7" s="38" t="str"/>
    </row>
    <row r="8">
      <c r="A8" s="38" t="inlineStr">
        <is>
          <t>NMZ-004</t>
        </is>
      </c>
      <c r="B8" s="38" t="n">
        <v>5</v>
      </c>
      <c r="C8" s="38" t="inlineStr">
        <is>
          <t>Žabja vas – Gotna vas</t>
        </is>
      </c>
      <c r="D8" s="38" t="inlineStr">
        <is>
          <t>Bližina poti</t>
        </is>
      </c>
      <c r="E8" s="38" t="inlineStr">
        <is>
          <t>Spominska plošča Valantičevi družini</t>
        </is>
      </c>
      <c r="F8" s="38" t="inlineStr">
        <is>
          <t>Kandija / Žabja vas</t>
        </is>
      </c>
      <c r="G8" s="38" t="inlineStr">
        <is>
          <t>Spominska plošča</t>
        </is>
      </c>
      <c r="H8" s="38" t="n">
        <v>45.7988</v>
      </c>
      <c r="I8" s="38" t="n">
        <v>15.1656</v>
      </c>
      <c r="J8" s="38" t="inlineStr">
        <is>
          <t>Izhodiščni približek – terensko uskladiti</t>
        </is>
      </c>
      <c r="K8" s="38" t="str"/>
      <c r="L8" s="38" t="inlineStr">
        <is>
          <t>Za preverjanje</t>
        </is>
      </c>
      <c r="M8" s="38" t="inlineStr">
        <is>
          <t>Spomin na Valantičevo družino in civilne žrtve.</t>
        </is>
      </c>
      <c r="N8" s="38" t="inlineStr">
        <is>
          <t>Civilne žrtve; družinska zgodba</t>
        </is>
      </c>
      <c r="O8" s="38" t="inlineStr">
        <is>
          <t>https://partizanstvo.si/</t>
        </is>
      </c>
      <c r="P8" s="38" t="str"/>
      <c r="Q8" s="38" t="inlineStr">
        <is>
          <t>Ni začeto</t>
        </is>
      </c>
      <c r="R8" s="38" t="inlineStr">
        <is>
          <t>Ni začeto</t>
        </is>
      </c>
      <c r="S8" s="38" t="inlineStr">
        <is>
          <t>Ni začeto</t>
        </is>
      </c>
      <c r="T8" s="38" t="inlineStr">
        <is>
          <t>Ni začeto</t>
        </is>
      </c>
      <c r="U8" s="38" t="inlineStr">
        <is>
          <t>Ni začeto</t>
        </is>
      </c>
      <c r="V8" s="38" t="inlineStr">
        <is>
          <t>Ni začeto</t>
        </is>
      </c>
      <c r="W8" s="38" t="inlineStr">
        <is>
          <t>Ni začeto</t>
        </is>
      </c>
      <c r="X8" s="38" t="inlineStr">
        <is>
          <t>Ni začeto</t>
        </is>
      </c>
      <c r="Y8" s="38">
        <f>IF(A8="","",Nastavitve!$B$2&amp;LOWER(A8))</f>
        <v/>
      </c>
      <c r="Z8" s="38" t="inlineStr">
        <is>
          <t>Ne</t>
        </is>
      </c>
      <c r="AA8" s="38" t="inlineStr">
        <is>
          <t>Ne</t>
        </is>
      </c>
      <c r="AB8" s="38" t="inlineStr">
        <is>
          <t>Za preverjanje</t>
        </is>
      </c>
      <c r="AC8" s="38" t="inlineStr">
        <is>
          <t>Za preverjanje</t>
        </is>
      </c>
      <c r="AD8" s="38" t="inlineStr">
        <is>
          <t>Predlog – preveriti</t>
        </is>
      </c>
      <c r="AE8" s="38" t="str"/>
      <c r="AF8" s="52" t="n"/>
      <c r="AG8" s="53">
        <f>ROUND((COUNTIF(Q8:X8,"Končano")+IF(Z8="Da",1,0)+IF(AA8="Da",1,0)+IF(AC8="Potrjeno",1,0))/11,2)</f>
        <v/>
      </c>
      <c r="AH8" s="38" t="str"/>
    </row>
    <row r="9">
      <c r="A9" s="38" t="inlineStr">
        <is>
          <t>NMZ-005</t>
        </is>
      </c>
      <c r="B9" s="38" t="n">
        <v>5</v>
      </c>
      <c r="C9" s="38" t="inlineStr">
        <is>
          <t>Žabja vas – Gotna vas</t>
        </is>
      </c>
      <c r="D9" s="38" t="inlineStr">
        <is>
          <t>Bližina poti</t>
        </is>
      </c>
      <c r="E9" s="38" t="inlineStr">
        <is>
          <t>Grad Grm – plošča padlim gojencem kmetijske šole</t>
        </is>
      </c>
      <c r="F9" s="38" t="inlineStr">
        <is>
          <t>Grm</t>
        </is>
      </c>
      <c r="G9" s="38" t="inlineStr">
        <is>
          <t>Spominska plošča</t>
        </is>
      </c>
      <c r="H9" s="38" t="n">
        <v>45.7954</v>
      </c>
      <c r="I9" s="38" t="n">
        <v>15.1574</v>
      </c>
      <c r="J9" s="38" t="inlineStr">
        <is>
          <t>Izhodiščni približek – terensko uskladiti</t>
        </is>
      </c>
      <c r="K9" s="38" t="str"/>
      <c r="L9" s="38" t="inlineStr">
        <is>
          <t>Za preverjanje</t>
        </is>
      </c>
      <c r="M9" s="38" t="inlineStr">
        <is>
          <t>Spominska plošča padlim gojencem kmetijske šole.</t>
        </is>
      </c>
      <c r="N9" s="38" t="inlineStr">
        <is>
          <t>Mladi; šolstvo; NOB</t>
        </is>
      </c>
      <c r="O9" s="38" t="inlineStr">
        <is>
          <t>https://partizanstvo.si/</t>
        </is>
      </c>
      <c r="P9" s="38" t="str"/>
      <c r="Q9" s="38" t="inlineStr">
        <is>
          <t>Ni začeto</t>
        </is>
      </c>
      <c r="R9" s="38" t="inlineStr">
        <is>
          <t>Ni začeto</t>
        </is>
      </c>
      <c r="S9" s="38" t="inlineStr">
        <is>
          <t>Ni začeto</t>
        </is>
      </c>
      <c r="T9" s="38" t="inlineStr">
        <is>
          <t>Ni začeto</t>
        </is>
      </c>
      <c r="U9" s="38" t="inlineStr">
        <is>
          <t>Ni začeto</t>
        </is>
      </c>
      <c r="V9" s="38" t="inlineStr">
        <is>
          <t>Ni začeto</t>
        </is>
      </c>
      <c r="W9" s="38" t="inlineStr">
        <is>
          <t>Ni začeto</t>
        </is>
      </c>
      <c r="X9" s="38" t="inlineStr">
        <is>
          <t>Ni začeto</t>
        </is>
      </c>
      <c r="Y9" s="38">
        <f>IF(A9="","",Nastavitve!$B$2&amp;LOWER(A9))</f>
        <v/>
      </c>
      <c r="Z9" s="38" t="inlineStr">
        <is>
          <t>Ne</t>
        </is>
      </c>
      <c r="AA9" s="38" t="inlineStr">
        <is>
          <t>Ne</t>
        </is>
      </c>
      <c r="AB9" s="38" t="inlineStr">
        <is>
          <t>Za preverjanje</t>
        </is>
      </c>
      <c r="AC9" s="38" t="inlineStr">
        <is>
          <t>Za preverjanje</t>
        </is>
      </c>
      <c r="AD9" s="38" t="inlineStr">
        <is>
          <t>Predlog – preveriti</t>
        </is>
      </c>
      <c r="AE9" s="38" t="str"/>
      <c r="AF9" s="52" t="n"/>
      <c r="AG9" s="53">
        <f>ROUND((COUNTIF(Q9:X9,"Končano")+IF(Z9="Da",1,0)+IF(AA9="Da",1,0)+IF(AC9="Potrjeno",1,0))/11,2)</f>
        <v/>
      </c>
      <c r="AH9" s="38" t="str"/>
    </row>
    <row r="10">
      <c r="A10" s="38" t="inlineStr">
        <is>
          <t>NMZ-006</t>
        </is>
      </c>
      <c r="B10" s="38" t="n">
        <v>5</v>
      </c>
      <c r="C10" s="38" t="inlineStr">
        <is>
          <t>Žabja vas – Gotna vas</t>
        </is>
      </c>
      <c r="D10" s="38" t="inlineStr">
        <is>
          <t>Bližina poti</t>
        </is>
      </c>
      <c r="E10" s="38" t="inlineStr">
        <is>
          <t>Grad Grm – plošča ob prvem praznovanju Dneva vstaje</t>
        </is>
      </c>
      <c r="F10" s="38" t="inlineStr">
        <is>
          <t>Grm</t>
        </is>
      </c>
      <c r="G10" s="38" t="inlineStr">
        <is>
          <t>Spominska plošča</t>
        </is>
      </c>
      <c r="H10" s="38" t="n">
        <v>45.7962</v>
      </c>
      <c r="I10" s="38" t="n">
        <v>15.1568</v>
      </c>
      <c r="J10" s="38" t="inlineStr">
        <is>
          <t>Izhodiščni približek – terensko uskladiti</t>
        </is>
      </c>
      <c r="K10" s="38" t="str"/>
      <c r="L10" s="38" t="inlineStr">
        <is>
          <t>Za preverjanje</t>
        </is>
      </c>
      <c r="M10" s="38" t="inlineStr">
        <is>
          <t>Obeležje, povezano s prvim praznovanjem Dneva vstaje.</t>
        </is>
      </c>
      <c r="N10" s="38" t="inlineStr">
        <is>
          <t>Spomin; povojna kultura spominjanja</t>
        </is>
      </c>
      <c r="O10" s="38" t="inlineStr">
        <is>
          <t>https://partizanstvo.si/</t>
        </is>
      </c>
      <c r="P10" s="38" t="str"/>
      <c r="Q10" s="38" t="inlineStr">
        <is>
          <t>Ni začeto</t>
        </is>
      </c>
      <c r="R10" s="38" t="inlineStr">
        <is>
          <t>Ni začeto</t>
        </is>
      </c>
      <c r="S10" s="38" t="inlineStr">
        <is>
          <t>Ni začeto</t>
        </is>
      </c>
      <c r="T10" s="38" t="inlineStr">
        <is>
          <t>Ni začeto</t>
        </is>
      </c>
      <c r="U10" s="38" t="inlineStr">
        <is>
          <t>Ni začeto</t>
        </is>
      </c>
      <c r="V10" s="38" t="inlineStr">
        <is>
          <t>Ni začeto</t>
        </is>
      </c>
      <c r="W10" s="38" t="inlineStr">
        <is>
          <t>Ni začeto</t>
        </is>
      </c>
      <c r="X10" s="38" t="inlineStr">
        <is>
          <t>Ni začeto</t>
        </is>
      </c>
      <c r="Y10" s="38">
        <f>IF(A10="","",Nastavitve!$B$2&amp;LOWER(A10))</f>
        <v/>
      </c>
      <c r="Z10" s="38" t="inlineStr">
        <is>
          <t>Ne</t>
        </is>
      </c>
      <c r="AA10" s="38" t="inlineStr">
        <is>
          <t>Ne</t>
        </is>
      </c>
      <c r="AB10" s="38" t="inlineStr">
        <is>
          <t>Za preverjanje</t>
        </is>
      </c>
      <c r="AC10" s="38" t="inlineStr">
        <is>
          <t>Za preverjanje</t>
        </is>
      </c>
      <c r="AD10" s="38" t="inlineStr">
        <is>
          <t>Predlog – preveriti</t>
        </is>
      </c>
      <c r="AE10" s="38" t="str"/>
      <c r="AF10" s="52" t="n"/>
      <c r="AG10" s="53">
        <f>ROUND((COUNTIF(Q10:X10,"Končano")+IF(Z10="Da",1,0)+IF(AA10="Da",1,0)+IF(AC10="Potrjeno",1,0))/11,2)</f>
        <v/>
      </c>
      <c r="AH10" s="38" t="str"/>
    </row>
    <row r="11">
      <c r="A11" s="38" t="inlineStr">
        <is>
          <t>NMZ-007</t>
        </is>
      </c>
      <c r="B11" s="38" t="n">
        <v>5</v>
      </c>
      <c r="C11" s="38" t="inlineStr">
        <is>
          <t>Žabja vas – Gotna vas</t>
        </is>
      </c>
      <c r="D11" s="38" t="inlineStr">
        <is>
          <t>Bližina poti</t>
        </is>
      </c>
      <c r="E11" s="38" t="inlineStr">
        <is>
          <t>Plošča na nekdanjem Sokolskem domu</t>
        </is>
      </c>
      <c r="F11" s="38" t="inlineStr">
        <is>
          <t>Kandija / center</t>
        </is>
      </c>
      <c r="G11" s="38" t="inlineStr">
        <is>
          <t>Spominska plošča</t>
        </is>
      </c>
      <c r="H11" s="38" t="n">
        <v>45.8014</v>
      </c>
      <c r="I11" s="38" t="n">
        <v>15.1652</v>
      </c>
      <c r="J11" s="38" t="inlineStr">
        <is>
          <t>Izhodiščni približek – terensko uskladiti</t>
        </is>
      </c>
      <c r="K11" s="38" t="str"/>
      <c r="L11" s="38" t="inlineStr">
        <is>
          <t>Za preverjanje</t>
        </is>
      </c>
      <c r="M11" s="38" t="inlineStr">
        <is>
          <t>NOB obeležje na nekdanjem Sokolskem domu.</t>
        </is>
      </c>
      <c r="N11" s="38" t="inlineStr">
        <is>
          <t>Odpor; organizirano delovanje</t>
        </is>
      </c>
      <c r="O11" s="38" t="inlineStr">
        <is>
          <t>https://partizanstvo.si/</t>
        </is>
      </c>
      <c r="P11" s="38" t="str"/>
      <c r="Q11" s="38" t="inlineStr">
        <is>
          <t>Ni začeto</t>
        </is>
      </c>
      <c r="R11" s="38" t="inlineStr">
        <is>
          <t>Ni začeto</t>
        </is>
      </c>
      <c r="S11" s="38" t="inlineStr">
        <is>
          <t>Ni začeto</t>
        </is>
      </c>
      <c r="T11" s="38" t="inlineStr">
        <is>
          <t>Ni začeto</t>
        </is>
      </c>
      <c r="U11" s="38" t="inlineStr">
        <is>
          <t>Ni začeto</t>
        </is>
      </c>
      <c r="V11" s="38" t="inlineStr">
        <is>
          <t>Ni začeto</t>
        </is>
      </c>
      <c r="W11" s="38" t="inlineStr">
        <is>
          <t>Ni začeto</t>
        </is>
      </c>
      <c r="X11" s="38" t="inlineStr">
        <is>
          <t>Ni začeto</t>
        </is>
      </c>
      <c r="Y11" s="38">
        <f>IF(A11="","",Nastavitve!$B$2&amp;LOWER(A11))</f>
        <v/>
      </c>
      <c r="Z11" s="38" t="inlineStr">
        <is>
          <t>Ne</t>
        </is>
      </c>
      <c r="AA11" s="38" t="inlineStr">
        <is>
          <t>Ne</t>
        </is>
      </c>
      <c r="AB11" s="38" t="inlineStr">
        <is>
          <t>Za preverjanje</t>
        </is>
      </c>
      <c r="AC11" s="38" t="inlineStr">
        <is>
          <t>Za preverjanje</t>
        </is>
      </c>
      <c r="AD11" s="38" t="inlineStr">
        <is>
          <t>Predlog – preveriti</t>
        </is>
      </c>
      <c r="AE11" s="38" t="str"/>
      <c r="AF11" s="52" t="n"/>
      <c r="AG11" s="53">
        <f>ROUND((COUNTIF(Q11:X11,"Končano")+IF(Z11="Da",1,0)+IF(AA11="Da",1,0)+IF(AC11="Potrjeno",1,0))/11,2)</f>
        <v/>
      </c>
      <c r="AH11" s="38" t="str"/>
    </row>
    <row r="12">
      <c r="A12" s="38" t="inlineStr">
        <is>
          <t>NMZ-008</t>
        </is>
      </c>
      <c r="B12" s="38" t="n">
        <v>8</v>
      </c>
      <c r="C12" s="38" t="inlineStr">
        <is>
          <t>Drska – Loka</t>
        </is>
      </c>
      <c r="D12" s="38" t="inlineStr">
        <is>
          <t>Bližina poti</t>
        </is>
      </c>
      <c r="E12" s="38" t="inlineStr">
        <is>
          <t>Plošča okrožni tehniki</t>
        </is>
      </c>
      <c r="F12" s="38" t="inlineStr">
        <is>
          <t>Center Novega mesta</t>
        </is>
      </c>
      <c r="G12" s="38" t="inlineStr">
        <is>
          <t>Spominska plošča</t>
        </is>
      </c>
      <c r="H12" s="38" t="n">
        <v>45.8032</v>
      </c>
      <c r="I12" s="38" t="n">
        <v>15.1676</v>
      </c>
      <c r="J12" s="38" t="inlineStr">
        <is>
          <t>Izhodiščni približek – terensko uskladiti</t>
        </is>
      </c>
      <c r="K12" s="38" t="str"/>
      <c r="L12" s="38" t="inlineStr">
        <is>
          <t>Za preverjanje</t>
        </is>
      </c>
      <c r="M12" s="38" t="inlineStr">
        <is>
          <t>Spomin na ilegalno tiskarsko oziroma tehnično dejavnost.</t>
        </is>
      </c>
      <c r="N12" s="38" t="inlineStr">
        <is>
          <t>Ilegalna tehnika; odpor</t>
        </is>
      </c>
      <c r="O12" s="38" t="inlineStr">
        <is>
          <t>https://partizanstvo.si/</t>
        </is>
      </c>
      <c r="P12" s="38" t="str"/>
      <c r="Q12" s="38" t="inlineStr">
        <is>
          <t>Ni začeto</t>
        </is>
      </c>
      <c r="R12" s="38" t="inlineStr">
        <is>
          <t>Ni začeto</t>
        </is>
      </c>
      <c r="S12" s="38" t="inlineStr">
        <is>
          <t>Ni začeto</t>
        </is>
      </c>
      <c r="T12" s="38" t="inlineStr">
        <is>
          <t>Ni začeto</t>
        </is>
      </c>
      <c r="U12" s="38" t="inlineStr">
        <is>
          <t>Ni začeto</t>
        </is>
      </c>
      <c r="V12" s="38" t="inlineStr">
        <is>
          <t>Ni začeto</t>
        </is>
      </c>
      <c r="W12" s="38" t="inlineStr">
        <is>
          <t>Ni začeto</t>
        </is>
      </c>
      <c r="X12" s="38" t="inlineStr">
        <is>
          <t>Ni začeto</t>
        </is>
      </c>
      <c r="Y12" s="38">
        <f>IF(A12="","",Nastavitve!$B$2&amp;LOWER(A12))</f>
        <v/>
      </c>
      <c r="Z12" s="38" t="inlineStr">
        <is>
          <t>Ne</t>
        </is>
      </c>
      <c r="AA12" s="38" t="inlineStr">
        <is>
          <t>Ne</t>
        </is>
      </c>
      <c r="AB12" s="38" t="inlineStr">
        <is>
          <t>Za preverjanje</t>
        </is>
      </c>
      <c r="AC12" s="38" t="inlineStr">
        <is>
          <t>Za preverjanje</t>
        </is>
      </c>
      <c r="AD12" s="38" t="inlineStr">
        <is>
          <t>Predlog – preveriti</t>
        </is>
      </c>
      <c r="AE12" s="38" t="str"/>
      <c r="AF12" s="52" t="n"/>
      <c r="AG12" s="53">
        <f>ROUND((COUNTIF(Q12:X12,"Končano")+IF(Z12="Da",1,0)+IF(AA12="Da",1,0)+IF(AC12="Potrjeno",1,0))/11,2)</f>
        <v/>
      </c>
      <c r="AH12" s="38" t="str"/>
    </row>
    <row r="13">
      <c r="A13" s="38" t="inlineStr">
        <is>
          <t>NMZ-009</t>
        </is>
      </c>
      <c r="B13" s="38" t="n">
        <v>8</v>
      </c>
      <c r="C13" s="38" t="inlineStr">
        <is>
          <t>Drska – Loka</t>
        </is>
      </c>
      <c r="D13" s="38" t="inlineStr">
        <is>
          <t>Bližina poti</t>
        </is>
      </c>
      <c r="E13" s="38" t="inlineStr">
        <is>
          <t>Spomenik obešenima partizanoma</t>
        </is>
      </c>
      <c r="F13" s="38" t="inlineStr">
        <is>
          <t>Glavni trg</t>
        </is>
      </c>
      <c r="G13" s="38" t="inlineStr">
        <is>
          <t>Spomenik</t>
        </is>
      </c>
      <c r="H13" s="38" t="n">
        <v>45.8038</v>
      </c>
      <c r="I13" s="38" t="n">
        <v>15.1687</v>
      </c>
      <c r="J13" s="38" t="inlineStr">
        <is>
          <t>Izhodiščni približek – terensko uskladiti</t>
        </is>
      </c>
      <c r="K13" s="38" t="inlineStr">
        <is>
          <t>8720</t>
        </is>
      </c>
      <c r="L13" s="38" t="inlineStr">
        <is>
          <t>Vpisano</t>
        </is>
      </c>
      <c r="M13" s="38" t="inlineStr">
        <is>
          <t>Spomenik obešenima partizanoma na Glavnem trgu.</t>
        </is>
      </c>
      <c r="N13" s="38" t="inlineStr">
        <is>
          <t>Represija; talci; javne usmrtitve</t>
        </is>
      </c>
      <c r="O13" s="38" t="inlineStr">
        <is>
          <t>https://www.novomesto.si/dolenjski-uradni-list/dul-objave/2017110308141094/odlok_o_razglasitvi__nepremicnih_kulturnih_spomenikov_lokalnega_pomena_na_obmocju_mestne_obcine_novo_mesto/</t>
        </is>
      </c>
      <c r="P13" s="38" t="inlineStr">
        <is>
          <t>https://partizanstvo.si/</t>
        </is>
      </c>
      <c r="Q13" s="38" t="inlineStr">
        <is>
          <t>Ni začeto</t>
        </is>
      </c>
      <c r="R13" s="38" t="inlineStr">
        <is>
          <t>Ni začeto</t>
        </is>
      </c>
      <c r="S13" s="38" t="inlineStr">
        <is>
          <t>Ni začeto</t>
        </is>
      </c>
      <c r="T13" s="38" t="inlineStr">
        <is>
          <t>Ni začeto</t>
        </is>
      </c>
      <c r="U13" s="38" t="inlineStr">
        <is>
          <t>Ni začeto</t>
        </is>
      </c>
      <c r="V13" s="38" t="inlineStr">
        <is>
          <t>Ni začeto</t>
        </is>
      </c>
      <c r="W13" s="38" t="inlineStr">
        <is>
          <t>Ni začeto</t>
        </is>
      </c>
      <c r="X13" s="38" t="inlineStr">
        <is>
          <t>Ni začeto</t>
        </is>
      </c>
      <c r="Y13" s="38">
        <f>IF(A13="","",Nastavitve!$B$2&amp;LOWER(A13))</f>
        <v/>
      </c>
      <c r="Z13" s="38" t="inlineStr">
        <is>
          <t>Ne</t>
        </is>
      </c>
      <c r="AA13" s="38" t="inlineStr">
        <is>
          <t>Ne</t>
        </is>
      </c>
      <c r="AB13" s="38" t="inlineStr">
        <is>
          <t>Za preverjanje</t>
        </is>
      </c>
      <c r="AC13" s="38" t="inlineStr">
        <is>
          <t>Za preverjanje</t>
        </is>
      </c>
      <c r="AD13" s="38" t="inlineStr">
        <is>
          <t>Predlog – preveriti</t>
        </is>
      </c>
      <c r="AE13" s="38" t="str"/>
      <c r="AF13" s="52" t="n"/>
      <c r="AG13" s="53">
        <f>ROUND((COUNTIF(Q13:X13,"Končano")+IF(Z13="Da",1,0)+IF(AA13="Da",1,0)+IF(AC13="Potrjeno",1,0))/11,2)</f>
        <v/>
      </c>
      <c r="AH13" s="38" t="str"/>
    </row>
    <row r="14">
      <c r="A14" s="38" t="inlineStr">
        <is>
          <t>NMZ-010</t>
        </is>
      </c>
      <c r="B14" s="38" t="n">
        <v>8</v>
      </c>
      <c r="C14" s="38" t="inlineStr">
        <is>
          <t>Drska – Loka</t>
        </is>
      </c>
      <c r="D14" s="38" t="inlineStr">
        <is>
          <t>Bližina poti</t>
        </is>
      </c>
      <c r="E14" s="38" t="inlineStr">
        <is>
          <t>Spomeniški kompleks Na vratih / Loža herojev</t>
        </is>
      </c>
      <c r="F14" s="38" t="inlineStr">
        <is>
          <t>Rozmanova ulica</t>
        </is>
      </c>
      <c r="G14" s="38" t="inlineStr">
        <is>
          <t>Spomeniški kompleks</t>
        </is>
      </c>
      <c r="H14" s="38" t="n">
        <v>45.8044</v>
      </c>
      <c r="I14" s="38" t="n">
        <v>15.1682</v>
      </c>
      <c r="J14" s="38" t="inlineStr">
        <is>
          <t>Izhodiščni približek – terensko uskladiti</t>
        </is>
      </c>
      <c r="K14" s="38" t="inlineStr">
        <is>
          <t>8722</t>
        </is>
      </c>
      <c r="L14" s="38" t="inlineStr">
        <is>
          <t>Vpisano</t>
        </is>
      </c>
      <c r="M14" s="38" t="inlineStr">
        <is>
          <t>Osrednji mestni spominski kompleks NOB.</t>
        </is>
      </c>
      <c r="N14" s="38" t="inlineStr">
        <is>
          <t>Narodni heroji; kolektivni spomin</t>
        </is>
      </c>
      <c r="O14" s="38" t="inlineStr">
        <is>
          <t>https://www.novomesto.si/dolenjski-uradni-list/dul-objave/2017110308141094/odlok_o_razglasitvi__nepremicnih_kulturnih_spomenikov_lokalnega_pomena_na_obmocju_mestne_obcine_novo_mesto/</t>
        </is>
      </c>
      <c r="P14" s="38" t="inlineStr">
        <is>
          <t>https://partizanstvo.si/</t>
        </is>
      </c>
      <c r="Q14" s="38" t="inlineStr">
        <is>
          <t>Ni začeto</t>
        </is>
      </c>
      <c r="R14" s="38" t="inlineStr">
        <is>
          <t>Ni začeto</t>
        </is>
      </c>
      <c r="S14" s="38" t="inlineStr">
        <is>
          <t>Ni začeto</t>
        </is>
      </c>
      <c r="T14" s="38" t="inlineStr">
        <is>
          <t>Ni začeto</t>
        </is>
      </c>
      <c r="U14" s="38" t="inlineStr">
        <is>
          <t>Ni začeto</t>
        </is>
      </c>
      <c r="V14" s="38" t="inlineStr">
        <is>
          <t>Ni začeto</t>
        </is>
      </c>
      <c r="W14" s="38" t="inlineStr">
        <is>
          <t>Ni začeto</t>
        </is>
      </c>
      <c r="X14" s="38" t="inlineStr">
        <is>
          <t>Ni začeto</t>
        </is>
      </c>
      <c r="Y14" s="38">
        <f>IF(A14="","",Nastavitve!$B$2&amp;LOWER(A14))</f>
        <v/>
      </c>
      <c r="Z14" s="38" t="inlineStr">
        <is>
          <t>Ne</t>
        </is>
      </c>
      <c r="AA14" s="38" t="inlineStr">
        <is>
          <t>Ne</t>
        </is>
      </c>
      <c r="AB14" s="38" t="inlineStr">
        <is>
          <t>Za preverjanje</t>
        </is>
      </c>
      <c r="AC14" s="38" t="inlineStr">
        <is>
          <t>Za preverjanje</t>
        </is>
      </c>
      <c r="AD14" s="38" t="inlineStr">
        <is>
          <t>Predlog – preveriti</t>
        </is>
      </c>
      <c r="AE14" s="38" t="str"/>
      <c r="AF14" s="52" t="n"/>
      <c r="AG14" s="53">
        <f>ROUND((COUNTIF(Q14:X14,"Končano")+IF(Z14="Da",1,0)+IF(AA14="Da",1,0)+IF(AC14="Potrjeno",1,0))/11,2)</f>
        <v/>
      </c>
      <c r="AH14" s="38" t="str"/>
    </row>
    <row r="15">
      <c r="A15" s="38" t="inlineStr">
        <is>
          <t>NMZ-011</t>
        </is>
      </c>
      <c r="B15" s="38" t="n">
        <v>8</v>
      </c>
      <c r="C15" s="38" t="inlineStr">
        <is>
          <t>Drska – Loka</t>
        </is>
      </c>
      <c r="D15" s="38" t="inlineStr">
        <is>
          <t>Bližina poti</t>
        </is>
      </c>
      <c r="E15" s="38" t="inlineStr">
        <is>
          <t>Spominska avla Dolenjskega muzeja</t>
        </is>
      </c>
      <c r="F15" s="38" t="inlineStr">
        <is>
          <t>Center Novega mesta</t>
        </is>
      </c>
      <c r="G15" s="38" t="inlineStr">
        <is>
          <t>Muzejska spominska točka</t>
        </is>
      </c>
      <c r="H15" s="38" t="n">
        <v>45.8049</v>
      </c>
      <c r="I15" s="38" t="n">
        <v>15.1679</v>
      </c>
      <c r="J15" s="38" t="inlineStr">
        <is>
          <t>Izhodiščni približek – terensko uskladiti</t>
        </is>
      </c>
      <c r="K15" s="38" t="str"/>
      <c r="L15" s="38" t="inlineStr">
        <is>
          <t>Za preverjanje</t>
        </is>
      </c>
      <c r="M15" s="38" t="inlineStr">
        <is>
          <t>Muzejska interpretacijska točka za zgodovino NOB na Dolenjskem.</t>
        </is>
      </c>
      <c r="N15" s="38" t="inlineStr">
        <is>
          <t>Muzejska interpretacija; zgodovinski viri</t>
        </is>
      </c>
      <c r="O15" s="38" t="inlineStr">
        <is>
          <t>https://www.dolenjskimuzej.si/</t>
        </is>
      </c>
      <c r="P15" s="38" t="str"/>
      <c r="Q15" s="38" t="inlineStr">
        <is>
          <t>Ni začeto</t>
        </is>
      </c>
      <c r="R15" s="38" t="inlineStr">
        <is>
          <t>Ni začeto</t>
        </is>
      </c>
      <c r="S15" s="38" t="inlineStr">
        <is>
          <t>Ni začeto</t>
        </is>
      </c>
      <c r="T15" s="38" t="inlineStr">
        <is>
          <t>Ni začeto</t>
        </is>
      </c>
      <c r="U15" s="38" t="inlineStr">
        <is>
          <t>Ni začeto</t>
        </is>
      </c>
      <c r="V15" s="38" t="inlineStr">
        <is>
          <t>Ni začeto</t>
        </is>
      </c>
      <c r="W15" s="38" t="inlineStr">
        <is>
          <t>Ni začeto</t>
        </is>
      </c>
      <c r="X15" s="38" t="inlineStr">
        <is>
          <t>Ni začeto</t>
        </is>
      </c>
      <c r="Y15" s="38">
        <f>IF(A15="","",Nastavitve!$B$2&amp;LOWER(A15))</f>
        <v/>
      </c>
      <c r="Z15" s="38" t="inlineStr">
        <is>
          <t>Ne</t>
        </is>
      </c>
      <c r="AA15" s="38" t="inlineStr">
        <is>
          <t>Ne</t>
        </is>
      </c>
      <c r="AB15" s="38" t="inlineStr">
        <is>
          <t>Za preverjanje</t>
        </is>
      </c>
      <c r="AC15" s="38" t="inlineStr">
        <is>
          <t>Za preverjanje</t>
        </is>
      </c>
      <c r="AD15" s="38" t="inlineStr">
        <is>
          <t>Predlog – preveriti</t>
        </is>
      </c>
      <c r="AE15" s="38" t="str"/>
      <c r="AF15" s="52" t="n"/>
      <c r="AG15" s="53">
        <f>ROUND((COUNTIF(Q15:X15,"Končano")+IF(Z15="Da",1,0)+IF(AA15="Da",1,0)+IF(AC15="Potrjeno",1,0))/11,2)</f>
        <v/>
      </c>
      <c r="AH15" s="38" t="str"/>
    </row>
    <row r="16">
      <c r="A16" s="38" t="inlineStr">
        <is>
          <t>NMZ-012</t>
        </is>
      </c>
      <c r="B16" s="38" t="n">
        <v>8</v>
      </c>
      <c r="C16" s="38" t="inlineStr">
        <is>
          <t>Drska – Loka</t>
        </is>
      </c>
      <c r="D16" s="38" t="inlineStr">
        <is>
          <t>Bližina poti</t>
        </is>
      </c>
      <c r="E16" s="38" t="inlineStr">
        <is>
          <t>Kip Josipa Broza Tita v vrtu Dolenjskega muzeja</t>
        </is>
      </c>
      <c r="F16" s="38" t="inlineStr">
        <is>
          <t>Center Novega mesta</t>
        </is>
      </c>
      <c r="G16" s="38" t="inlineStr">
        <is>
          <t>Kip / spomenik</t>
        </is>
      </c>
      <c r="H16" s="38" t="n">
        <v>45.8052</v>
      </c>
      <c r="I16" s="38" t="n">
        <v>15.1675</v>
      </c>
      <c r="J16" s="38" t="inlineStr">
        <is>
          <t>Izhodiščni približek – terensko uskladiti</t>
        </is>
      </c>
      <c r="K16" s="38" t="str"/>
      <c r="L16" s="38" t="inlineStr">
        <is>
          <t>Za preverjanje</t>
        </is>
      </c>
      <c r="M16" s="38" t="inlineStr">
        <is>
          <t>Kip kot izhodišče za razpravo o vojni, povojnem času in kulturi spomina.</t>
        </is>
      </c>
      <c r="N16" s="38" t="inlineStr">
        <is>
          <t>Tito; povojni spomin</t>
        </is>
      </c>
      <c r="O16" s="38" t="inlineStr">
        <is>
          <t>https://www.dolenjskimuzej.si/</t>
        </is>
      </c>
      <c r="P16" s="38" t="str"/>
      <c r="Q16" s="38" t="inlineStr">
        <is>
          <t>Ni začeto</t>
        </is>
      </c>
      <c r="R16" s="38" t="inlineStr">
        <is>
          <t>Ni začeto</t>
        </is>
      </c>
      <c r="S16" s="38" t="inlineStr">
        <is>
          <t>Ni začeto</t>
        </is>
      </c>
      <c r="T16" s="38" t="inlineStr">
        <is>
          <t>Ni začeto</t>
        </is>
      </c>
      <c r="U16" s="38" t="inlineStr">
        <is>
          <t>Ni začeto</t>
        </is>
      </c>
      <c r="V16" s="38" t="inlineStr">
        <is>
          <t>Ni začeto</t>
        </is>
      </c>
      <c r="W16" s="38" t="inlineStr">
        <is>
          <t>Ni začeto</t>
        </is>
      </c>
      <c r="X16" s="38" t="inlineStr">
        <is>
          <t>Ni začeto</t>
        </is>
      </c>
      <c r="Y16" s="38">
        <f>IF(A16="","",Nastavitve!$B$2&amp;LOWER(A16))</f>
        <v/>
      </c>
      <c r="Z16" s="38" t="inlineStr">
        <is>
          <t>Ne</t>
        </is>
      </c>
      <c r="AA16" s="38" t="inlineStr">
        <is>
          <t>Ne</t>
        </is>
      </c>
      <c r="AB16" s="38" t="inlineStr">
        <is>
          <t>Za preverjanje</t>
        </is>
      </c>
      <c r="AC16" s="38" t="inlineStr">
        <is>
          <t>Za preverjanje</t>
        </is>
      </c>
      <c r="AD16" s="38" t="inlineStr">
        <is>
          <t>Predlog – preveriti</t>
        </is>
      </c>
      <c r="AE16" s="38" t="str"/>
      <c r="AF16" s="52" t="n"/>
      <c r="AG16" s="53">
        <f>ROUND((COUNTIF(Q16:X16,"Končano")+IF(Z16="Da",1,0)+IF(AA16="Da",1,0)+IF(AC16="Potrjeno",1,0))/11,2)</f>
        <v/>
      </c>
      <c r="AH16" s="38" t="str"/>
    </row>
    <row r="17">
      <c r="A17" s="38" t="inlineStr">
        <is>
          <t>NMZ-013</t>
        </is>
      </c>
      <c r="B17" s="38" t="n">
        <v>8</v>
      </c>
      <c r="C17" s="38" t="inlineStr">
        <is>
          <t>Drska – Loka</t>
        </is>
      </c>
      <c r="D17" s="38" t="inlineStr">
        <is>
          <t>Bližina poti</t>
        </is>
      </c>
      <c r="E17" s="38" t="inlineStr">
        <is>
          <t>Spominska plošča na sodišču</t>
        </is>
      </c>
      <c r="F17" s="38" t="inlineStr">
        <is>
          <t>Center Novega mesta</t>
        </is>
      </c>
      <c r="G17" s="38" t="inlineStr">
        <is>
          <t>Spominska plošča</t>
        </is>
      </c>
      <c r="H17" s="38" t="n">
        <v>45.8034</v>
      </c>
      <c r="I17" s="38" t="n">
        <v>15.1692</v>
      </c>
      <c r="J17" s="38" t="inlineStr">
        <is>
          <t>Izhodiščni približek – terensko uskladiti</t>
        </is>
      </c>
      <c r="K17" s="38" t="str"/>
      <c r="L17" s="38" t="inlineStr">
        <is>
          <t>Za preverjanje</t>
        </is>
      </c>
      <c r="M17" s="38" t="inlineStr">
        <is>
          <t>NOB spominska plošča na stavbi sodišča.</t>
        </is>
      </c>
      <c r="N17" s="38" t="inlineStr">
        <is>
          <t>Represija; institucije; odpor</t>
        </is>
      </c>
      <c r="O17" s="38" t="inlineStr">
        <is>
          <t>https://partizanstvo.si/</t>
        </is>
      </c>
      <c r="P17" s="38" t="str"/>
      <c r="Q17" s="38" t="inlineStr">
        <is>
          <t>Ni začeto</t>
        </is>
      </c>
      <c r="R17" s="38" t="inlineStr">
        <is>
          <t>Ni začeto</t>
        </is>
      </c>
      <c r="S17" s="38" t="inlineStr">
        <is>
          <t>Ni začeto</t>
        </is>
      </c>
      <c r="T17" s="38" t="inlineStr">
        <is>
          <t>Ni začeto</t>
        </is>
      </c>
      <c r="U17" s="38" t="inlineStr">
        <is>
          <t>Ni začeto</t>
        </is>
      </c>
      <c r="V17" s="38" t="inlineStr">
        <is>
          <t>Ni začeto</t>
        </is>
      </c>
      <c r="W17" s="38" t="inlineStr">
        <is>
          <t>Ni začeto</t>
        </is>
      </c>
      <c r="X17" s="38" t="inlineStr">
        <is>
          <t>Ni začeto</t>
        </is>
      </c>
      <c r="Y17" s="38">
        <f>IF(A17="","",Nastavitve!$B$2&amp;LOWER(A17))</f>
        <v/>
      </c>
      <c r="Z17" s="38" t="inlineStr">
        <is>
          <t>Ne</t>
        </is>
      </c>
      <c r="AA17" s="38" t="inlineStr">
        <is>
          <t>Ne</t>
        </is>
      </c>
      <c r="AB17" s="38" t="inlineStr">
        <is>
          <t>Za preverjanje</t>
        </is>
      </c>
      <c r="AC17" s="38" t="inlineStr">
        <is>
          <t>Za preverjanje</t>
        </is>
      </c>
      <c r="AD17" s="38" t="inlineStr">
        <is>
          <t>Predlog – preveriti</t>
        </is>
      </c>
      <c r="AE17" s="38" t="str"/>
      <c r="AF17" s="52" t="n"/>
      <c r="AG17" s="53">
        <f>ROUND((COUNTIF(Q17:X17,"Končano")+IF(Z17="Da",1,0)+IF(AA17="Da",1,0)+IF(AC17="Potrjeno",1,0))/11,2)</f>
        <v/>
      </c>
      <c r="AH17" s="38" t="str"/>
    </row>
    <row r="18">
      <c r="A18" s="38" t="inlineStr">
        <is>
          <t>NMZ-014</t>
        </is>
      </c>
      <c r="B18" s="38" t="n">
        <v>8</v>
      </c>
      <c r="C18" s="38" t="inlineStr">
        <is>
          <t>Drska – Loka</t>
        </is>
      </c>
      <c r="D18" s="38" t="inlineStr">
        <is>
          <t>Bližina poti</t>
        </is>
      </c>
      <c r="E18" s="38" t="inlineStr">
        <is>
          <t>Plošča žrtvam bombardiranja Novega mesta</t>
        </is>
      </c>
      <c r="F18" s="38" t="inlineStr">
        <is>
          <t>Center / Kandija</t>
        </is>
      </c>
      <c r="G18" s="38" t="inlineStr">
        <is>
          <t>Spominska plošča</t>
        </is>
      </c>
      <c r="H18" s="38" t="n">
        <v>45.8019</v>
      </c>
      <c r="I18" s="38" t="n">
        <v>15.1668</v>
      </c>
      <c r="J18" s="38" t="inlineStr">
        <is>
          <t>Izhodiščni približek – terensko uskladiti</t>
        </is>
      </c>
      <c r="K18" s="38" t="str"/>
      <c r="L18" s="38" t="inlineStr">
        <is>
          <t>Za preverjanje</t>
        </is>
      </c>
      <c r="M18" s="38" t="inlineStr">
        <is>
          <t>Spomin na civilne žrtve bombardiranja Novega mesta.</t>
        </is>
      </c>
      <c r="N18" s="38" t="inlineStr">
        <is>
          <t>Bombardiranje; civilne žrtve</t>
        </is>
      </c>
      <c r="O18" s="38" t="inlineStr">
        <is>
          <t>https://partizanstvo.si/</t>
        </is>
      </c>
      <c r="P18" s="38" t="str"/>
      <c r="Q18" s="38" t="inlineStr">
        <is>
          <t>Ni začeto</t>
        </is>
      </c>
      <c r="R18" s="38" t="inlineStr">
        <is>
          <t>Ni začeto</t>
        </is>
      </c>
      <c r="S18" s="38" t="inlineStr">
        <is>
          <t>Ni začeto</t>
        </is>
      </c>
      <c r="T18" s="38" t="inlineStr">
        <is>
          <t>Ni začeto</t>
        </is>
      </c>
      <c r="U18" s="38" t="inlineStr">
        <is>
          <t>Ni začeto</t>
        </is>
      </c>
      <c r="V18" s="38" t="inlineStr">
        <is>
          <t>Ni začeto</t>
        </is>
      </c>
      <c r="W18" s="38" t="inlineStr">
        <is>
          <t>Ni začeto</t>
        </is>
      </c>
      <c r="X18" s="38" t="inlineStr">
        <is>
          <t>Ni začeto</t>
        </is>
      </c>
      <c r="Y18" s="38">
        <f>IF(A18="","",Nastavitve!$B$2&amp;LOWER(A18))</f>
        <v/>
      </c>
      <c r="Z18" s="38" t="inlineStr">
        <is>
          <t>Ne</t>
        </is>
      </c>
      <c r="AA18" s="38" t="inlineStr">
        <is>
          <t>Ne</t>
        </is>
      </c>
      <c r="AB18" s="38" t="inlineStr">
        <is>
          <t>Za preverjanje</t>
        </is>
      </c>
      <c r="AC18" s="38" t="inlineStr">
        <is>
          <t>Za preverjanje</t>
        </is>
      </c>
      <c r="AD18" s="38" t="inlineStr">
        <is>
          <t>Predlog – preveriti</t>
        </is>
      </c>
      <c r="AE18" s="38" t="str"/>
      <c r="AF18" s="52" t="n"/>
      <c r="AG18" s="53">
        <f>ROUND((COUNTIF(Q18:X18,"Končano")+IF(Z18="Da",1,0)+IF(AA18="Da",1,0)+IF(AC18="Potrjeno",1,0))/11,2)</f>
        <v/>
      </c>
      <c r="AH18" s="38" t="str"/>
    </row>
    <row r="19">
      <c r="A19" s="38" t="inlineStr">
        <is>
          <t>NMZ-015</t>
        </is>
      </c>
      <c r="B19" s="38" t="n">
        <v>8</v>
      </c>
      <c r="C19" s="38" t="inlineStr">
        <is>
          <t>Drska – Loka</t>
        </is>
      </c>
      <c r="D19" s="38" t="inlineStr">
        <is>
          <t>Bližina poti</t>
        </is>
      </c>
      <c r="E19" s="38" t="inlineStr">
        <is>
          <t>Klet in spominska plošča talcem</t>
        </is>
      </c>
      <c r="F19" s="38" t="inlineStr">
        <is>
          <t>Ulica talcev 5</t>
        </is>
      </c>
      <c r="G19" s="38" t="inlineStr">
        <is>
          <t>Spominska plošča / lokacija dogodka</t>
        </is>
      </c>
      <c r="H19" s="38" t="n">
        <v>45.8011</v>
      </c>
      <c r="I19" s="38" t="n">
        <v>15.1659</v>
      </c>
      <c r="J19" s="38" t="inlineStr">
        <is>
          <t>Izhodiščni približek – terensko uskladiti</t>
        </is>
      </c>
      <c r="K19" s="38" t="inlineStr">
        <is>
          <t>8721</t>
        </is>
      </c>
      <c r="L19" s="38" t="inlineStr">
        <is>
          <t>Vpisano</t>
        </is>
      </c>
      <c r="M19" s="38" t="inlineStr">
        <is>
          <t>Lokacija zapiranja oziroma trpljenja talcev in pripadajoče obeležje.</t>
        </is>
      </c>
      <c r="N19" s="38" t="inlineStr">
        <is>
          <t>Talci; okupacijsko nasilje</t>
        </is>
      </c>
      <c r="O19" s="38" t="inlineStr">
        <is>
          <t>https://www.novomesto.si/dolenjski-uradni-list/dul-objave/2017110308141094/odlok_o_razglasitvi__nepremicnih_kulturnih_spomenikov_lokalnega_pomena_na_obmocju_mestne_obcine_novo_mesto/</t>
        </is>
      </c>
      <c r="P19" s="38" t="inlineStr">
        <is>
          <t>https://partizanstvo.si/</t>
        </is>
      </c>
      <c r="Q19" s="38" t="inlineStr">
        <is>
          <t>Ni začeto</t>
        </is>
      </c>
      <c r="R19" s="38" t="inlineStr">
        <is>
          <t>Ni začeto</t>
        </is>
      </c>
      <c r="S19" s="38" t="inlineStr">
        <is>
          <t>Ni začeto</t>
        </is>
      </c>
      <c r="T19" s="38" t="inlineStr">
        <is>
          <t>Ni začeto</t>
        </is>
      </c>
      <c r="U19" s="38" t="inlineStr">
        <is>
          <t>Ni začeto</t>
        </is>
      </c>
      <c r="V19" s="38" t="inlineStr">
        <is>
          <t>Ni začeto</t>
        </is>
      </c>
      <c r="W19" s="38" t="inlineStr">
        <is>
          <t>Ni začeto</t>
        </is>
      </c>
      <c r="X19" s="38" t="inlineStr">
        <is>
          <t>Ni začeto</t>
        </is>
      </c>
      <c r="Y19" s="38">
        <f>IF(A19="","",Nastavitve!$B$2&amp;LOWER(A19))</f>
        <v/>
      </c>
      <c r="Z19" s="38" t="inlineStr">
        <is>
          <t>Ne</t>
        </is>
      </c>
      <c r="AA19" s="38" t="inlineStr">
        <is>
          <t>Ne</t>
        </is>
      </c>
      <c r="AB19" s="38" t="inlineStr">
        <is>
          <t>Za preverjanje</t>
        </is>
      </c>
      <c r="AC19" s="38" t="inlineStr">
        <is>
          <t>Za preverjanje</t>
        </is>
      </c>
      <c r="AD19" s="38" t="inlineStr">
        <is>
          <t>Predlog – preveriti</t>
        </is>
      </c>
      <c r="AE19" s="38" t="str"/>
      <c r="AF19" s="52" t="n"/>
      <c r="AG19" s="53">
        <f>ROUND((COUNTIF(Q19:X19,"Končano")+IF(Z19="Da",1,0)+IF(AA19="Da",1,0)+IF(AC19="Potrjeno",1,0))/11,2)</f>
        <v/>
      </c>
      <c r="AH19" s="38" t="str"/>
    </row>
    <row r="20">
      <c r="A20" s="38" t="inlineStr">
        <is>
          <t>NMZ-016</t>
        </is>
      </c>
      <c r="B20" s="38" t="n">
        <v>8</v>
      </c>
      <c r="C20" s="38" t="inlineStr">
        <is>
          <t>Drska – Loka</t>
        </is>
      </c>
      <c r="D20" s="38" t="inlineStr">
        <is>
          <t>Bližina poti</t>
        </is>
      </c>
      <c r="E20" s="38" t="inlineStr">
        <is>
          <t>Gimnazija – plošča trem herojem in 48 dijakom</t>
        </is>
      </c>
      <c r="F20" s="38" t="inlineStr">
        <is>
          <t>Center Novega mesta</t>
        </is>
      </c>
      <c r="G20" s="38" t="inlineStr">
        <is>
          <t>Spominska plošča</t>
        </is>
      </c>
      <c r="H20" s="38" t="n">
        <v>45.803</v>
      </c>
      <c r="I20" s="38" t="n">
        <v>15.17</v>
      </c>
      <c r="J20" s="38" t="inlineStr">
        <is>
          <t>Izhodiščni približek – terensko uskladiti</t>
        </is>
      </c>
      <c r="K20" s="38" t="str"/>
      <c r="L20" s="38" t="inlineStr">
        <is>
          <t>Za preverjanje</t>
        </is>
      </c>
      <c r="M20" s="38" t="inlineStr">
        <is>
          <t>Šolsko obeležje trem herojem in padlim dijakom.</t>
        </is>
      </c>
      <c r="N20" s="38" t="inlineStr">
        <is>
          <t>Mladi; izobraževanje; odpor</t>
        </is>
      </c>
      <c r="O20" s="38" t="inlineStr">
        <is>
          <t>https://partizanstvo.si/</t>
        </is>
      </c>
      <c r="P20" s="38" t="str"/>
      <c r="Q20" s="38" t="inlineStr">
        <is>
          <t>Ni začeto</t>
        </is>
      </c>
      <c r="R20" s="38" t="inlineStr">
        <is>
          <t>Ni začeto</t>
        </is>
      </c>
      <c r="S20" s="38" t="inlineStr">
        <is>
          <t>Ni začeto</t>
        </is>
      </c>
      <c r="T20" s="38" t="inlineStr">
        <is>
          <t>Ni začeto</t>
        </is>
      </c>
      <c r="U20" s="38" t="inlineStr">
        <is>
          <t>Ni začeto</t>
        </is>
      </c>
      <c r="V20" s="38" t="inlineStr">
        <is>
          <t>Ni začeto</t>
        </is>
      </c>
      <c r="W20" s="38" t="inlineStr">
        <is>
          <t>Ni začeto</t>
        </is>
      </c>
      <c r="X20" s="38" t="inlineStr">
        <is>
          <t>Ni začeto</t>
        </is>
      </c>
      <c r="Y20" s="38">
        <f>IF(A20="","",Nastavitve!$B$2&amp;LOWER(A20))</f>
        <v/>
      </c>
      <c r="Z20" s="38" t="inlineStr">
        <is>
          <t>Ne</t>
        </is>
      </c>
      <c r="AA20" s="38" t="inlineStr">
        <is>
          <t>Ne</t>
        </is>
      </c>
      <c r="AB20" s="38" t="inlineStr">
        <is>
          <t>Za preverjanje</t>
        </is>
      </c>
      <c r="AC20" s="38" t="inlineStr">
        <is>
          <t>Za preverjanje</t>
        </is>
      </c>
      <c r="AD20" s="38" t="inlineStr">
        <is>
          <t>Predlog – preveriti</t>
        </is>
      </c>
      <c r="AE20" s="38" t="str"/>
      <c r="AF20" s="52" t="n"/>
      <c r="AG20" s="53">
        <f>ROUND((COUNTIF(Q20:X20,"Končano")+IF(Z20="Da",1,0)+IF(AA20="Da",1,0)+IF(AC20="Potrjeno",1,0))/11,2)</f>
        <v/>
      </c>
      <c r="AH20" s="38" t="str"/>
    </row>
    <row r="21">
      <c r="A21" s="38" t="inlineStr">
        <is>
          <t>NMZ-017</t>
        </is>
      </c>
      <c r="B21" s="38" t="n">
        <v>8</v>
      </c>
      <c r="C21" s="38" t="inlineStr">
        <is>
          <t>Drska – Loka</t>
        </is>
      </c>
      <c r="D21" s="38" t="inlineStr">
        <is>
          <t>Bližina poti</t>
        </is>
      </c>
      <c r="E21" s="38" t="inlineStr">
        <is>
          <t>Spomenik Katji Rupena</t>
        </is>
      </c>
      <c r="F21" s="38" t="inlineStr">
        <is>
          <t>OŠ Center</t>
        </is>
      </c>
      <c r="G21" s="38" t="inlineStr">
        <is>
          <t>Spomenik</t>
        </is>
      </c>
      <c r="H21" s="38" t="n">
        <v>45.8021</v>
      </c>
      <c r="I21" s="38" t="n">
        <v>15.169</v>
      </c>
      <c r="J21" s="38" t="inlineStr">
        <is>
          <t>Izhodiščni približek – terensko uskladiti</t>
        </is>
      </c>
      <c r="K21" s="38" t="inlineStr">
        <is>
          <t>15654</t>
        </is>
      </c>
      <c r="L21" s="38" t="inlineStr">
        <is>
          <t>Vpisano</t>
        </is>
      </c>
      <c r="M21" s="38" t="inlineStr">
        <is>
          <t>Spomenik Katji Rupena kot izhodišče za zgodbo o ženskah v odporu.</t>
        </is>
      </c>
      <c r="N21" s="38" t="inlineStr">
        <is>
          <t>Katja Rupena; ženske v odporu</t>
        </is>
      </c>
      <c r="O21" s="38" t="inlineStr">
        <is>
          <t>https://partizanstvo.si/</t>
        </is>
      </c>
      <c r="P21" s="38" t="inlineStr">
        <is>
          <t>https://www.novomesto.si/dolenjski-uradni-list/dul-objave/2017110308141094/odlok_o_razglasitvi__nepremicnih_kulturnih_spomenikov_lokalnega_pomena_na_obmocju_mestne_obcine_novo_mesto/</t>
        </is>
      </c>
      <c r="Q21" s="38" t="inlineStr">
        <is>
          <t>Ni začeto</t>
        </is>
      </c>
      <c r="R21" s="38" t="inlineStr">
        <is>
          <t>Ni začeto</t>
        </is>
      </c>
      <c r="S21" s="38" t="inlineStr">
        <is>
          <t>Ni začeto</t>
        </is>
      </c>
      <c r="T21" s="38" t="inlineStr">
        <is>
          <t>Ni začeto</t>
        </is>
      </c>
      <c r="U21" s="38" t="inlineStr">
        <is>
          <t>Ni začeto</t>
        </is>
      </c>
      <c r="V21" s="38" t="inlineStr">
        <is>
          <t>Ni začeto</t>
        </is>
      </c>
      <c r="W21" s="38" t="inlineStr">
        <is>
          <t>Ni začeto</t>
        </is>
      </c>
      <c r="X21" s="38" t="inlineStr">
        <is>
          <t>Ni začeto</t>
        </is>
      </c>
      <c r="Y21" s="38">
        <f>IF(A21="","",Nastavitve!$B$2&amp;LOWER(A21))</f>
        <v/>
      </c>
      <c r="Z21" s="38" t="inlineStr">
        <is>
          <t>Ne</t>
        </is>
      </c>
      <c r="AA21" s="38" t="inlineStr">
        <is>
          <t>Ne</t>
        </is>
      </c>
      <c r="AB21" s="38" t="inlineStr">
        <is>
          <t>Za preverjanje</t>
        </is>
      </c>
      <c r="AC21" s="38" t="inlineStr">
        <is>
          <t>Za preverjanje</t>
        </is>
      </c>
      <c r="AD21" s="38" t="inlineStr">
        <is>
          <t>Predlog – preveriti</t>
        </is>
      </c>
      <c r="AE21" s="38" t="str"/>
      <c r="AF21" s="52" t="n"/>
      <c r="AG21" s="53">
        <f>ROUND((COUNTIF(Q21:X21,"Končano")+IF(Z21="Da",1,0)+IF(AA21="Da",1,0)+IF(AC21="Potrjeno",1,0))/11,2)</f>
        <v/>
      </c>
      <c r="AH21" s="38" t="str"/>
    </row>
    <row r="22">
      <c r="A22" s="38" t="inlineStr">
        <is>
          <t>NMZ-018</t>
        </is>
      </c>
      <c r="B22" s="38" t="n">
        <v>8</v>
      </c>
      <c r="C22" s="38" t="inlineStr">
        <is>
          <t>Drska – Loka</t>
        </is>
      </c>
      <c r="D22" s="38" t="inlineStr">
        <is>
          <t>Bližina poti</t>
        </is>
      </c>
      <c r="E22" s="38" t="inlineStr">
        <is>
          <t>Plošča padlim mojstrom, pomočnikom in učencem</t>
        </is>
      </c>
      <c r="F22" s="38" t="inlineStr">
        <is>
          <t>Center Novega mesta</t>
        </is>
      </c>
      <c r="G22" s="38" t="inlineStr">
        <is>
          <t>Spominska plošča</t>
        </is>
      </c>
      <c r="H22" s="38" t="n">
        <v>45.804</v>
      </c>
      <c r="I22" s="38" t="n">
        <v>15.1696</v>
      </c>
      <c r="J22" s="38" t="inlineStr">
        <is>
          <t>Izhodiščni približek – terensko uskladiti</t>
        </is>
      </c>
      <c r="K22" s="38" t="str"/>
      <c r="L22" s="38" t="inlineStr">
        <is>
          <t>Za preverjanje</t>
        </is>
      </c>
      <c r="M22" s="38" t="inlineStr">
        <is>
          <t>Spomin na padle iz obrtniškega oziroma poklicnega okolja.</t>
        </is>
      </c>
      <c r="N22" s="38" t="inlineStr">
        <is>
          <t>Delo; mladi; lokalna skupnost</t>
        </is>
      </c>
      <c r="O22" s="38" t="inlineStr">
        <is>
          <t>https://partizanstvo.si/</t>
        </is>
      </c>
      <c r="P22" s="38" t="str"/>
      <c r="Q22" s="38" t="inlineStr">
        <is>
          <t>Ni začeto</t>
        </is>
      </c>
      <c r="R22" s="38" t="inlineStr">
        <is>
          <t>Ni začeto</t>
        </is>
      </c>
      <c r="S22" s="38" t="inlineStr">
        <is>
          <t>Ni začeto</t>
        </is>
      </c>
      <c r="T22" s="38" t="inlineStr">
        <is>
          <t>Ni začeto</t>
        </is>
      </c>
      <c r="U22" s="38" t="inlineStr">
        <is>
          <t>Ni začeto</t>
        </is>
      </c>
      <c r="V22" s="38" t="inlineStr">
        <is>
          <t>Ni začeto</t>
        </is>
      </c>
      <c r="W22" s="38" t="inlineStr">
        <is>
          <t>Ni začeto</t>
        </is>
      </c>
      <c r="X22" s="38" t="inlineStr">
        <is>
          <t>Ni začeto</t>
        </is>
      </c>
      <c r="Y22" s="38">
        <f>IF(A22="","",Nastavitve!$B$2&amp;LOWER(A22))</f>
        <v/>
      </c>
      <c r="Z22" s="38" t="inlineStr">
        <is>
          <t>Ne</t>
        </is>
      </c>
      <c r="AA22" s="38" t="inlineStr">
        <is>
          <t>Ne</t>
        </is>
      </c>
      <c r="AB22" s="38" t="inlineStr">
        <is>
          <t>Za preverjanje</t>
        </is>
      </c>
      <c r="AC22" s="38" t="inlineStr">
        <is>
          <t>Za preverjanje</t>
        </is>
      </c>
      <c r="AD22" s="38" t="inlineStr">
        <is>
          <t>Predlog – preveriti</t>
        </is>
      </c>
      <c r="AE22" s="38" t="str"/>
      <c r="AF22" s="52" t="n"/>
      <c r="AG22" s="53">
        <f>ROUND((COUNTIF(Q22:X22,"Končano")+IF(Z22="Da",1,0)+IF(AA22="Da",1,0)+IF(AC22="Potrjeno",1,0))/11,2)</f>
        <v/>
      </c>
      <c r="AH22" s="38" t="str"/>
    </row>
    <row r="23">
      <c r="A23" s="38" t="inlineStr">
        <is>
          <t>NMZ-019</t>
        </is>
      </c>
      <c r="B23" s="38" t="n">
        <v>8</v>
      </c>
      <c r="C23" s="38" t="inlineStr">
        <is>
          <t>Drska – Loka</t>
        </is>
      </c>
      <c r="D23" s="38" t="inlineStr">
        <is>
          <t>Bližina poti</t>
        </is>
      </c>
      <c r="E23" s="38" t="inlineStr">
        <is>
          <t>Spominsko obeležje Stavka 1934</t>
        </is>
      </c>
      <c r="F23" s="38" t="inlineStr">
        <is>
          <t>Novo mesto</t>
        </is>
      </c>
      <c r="G23" s="38" t="inlineStr">
        <is>
          <t>Spominsko obeležje</t>
        </is>
      </c>
      <c r="H23" s="38" t="n">
        <v>45.8037</v>
      </c>
      <c r="I23" s="38" t="n">
        <v>15.1705</v>
      </c>
      <c r="J23" s="38" t="inlineStr">
        <is>
          <t>Izhodiščni približek – terensko uskladiti</t>
        </is>
      </c>
      <c r="K23" s="38" t="str"/>
      <c r="L23" s="38" t="inlineStr">
        <is>
          <t>Za preverjanje</t>
        </is>
      </c>
      <c r="M23" s="38" t="inlineStr">
        <is>
          <t>Predvojni družbeni in delavski kontekst kot uvod v radikalizacijo in odpor.</t>
        </is>
      </c>
      <c r="N23" s="38" t="inlineStr">
        <is>
          <t>Delavsko gibanje; predvojni kontekst</t>
        </is>
      </c>
      <c r="O23" s="38" t="inlineStr">
        <is>
          <t>https://partizanstvo.si/</t>
        </is>
      </c>
      <c r="P23" s="38" t="str"/>
      <c r="Q23" s="38" t="inlineStr">
        <is>
          <t>Ni začeto</t>
        </is>
      </c>
      <c r="R23" s="38" t="inlineStr">
        <is>
          <t>Ni začeto</t>
        </is>
      </c>
      <c r="S23" s="38" t="inlineStr">
        <is>
          <t>Ni začeto</t>
        </is>
      </c>
      <c r="T23" s="38" t="inlineStr">
        <is>
          <t>Ni začeto</t>
        </is>
      </c>
      <c r="U23" s="38" t="inlineStr">
        <is>
          <t>Ni začeto</t>
        </is>
      </c>
      <c r="V23" s="38" t="inlineStr">
        <is>
          <t>Ni začeto</t>
        </is>
      </c>
      <c r="W23" s="38" t="inlineStr">
        <is>
          <t>Ni začeto</t>
        </is>
      </c>
      <c r="X23" s="38" t="inlineStr">
        <is>
          <t>Ni začeto</t>
        </is>
      </c>
      <c r="Y23" s="38">
        <f>IF(A23="","",Nastavitve!$B$2&amp;LOWER(A23))</f>
        <v/>
      </c>
      <c r="Z23" s="38" t="inlineStr">
        <is>
          <t>Ne</t>
        </is>
      </c>
      <c r="AA23" s="38" t="inlineStr">
        <is>
          <t>Ne</t>
        </is>
      </c>
      <c r="AB23" s="38" t="inlineStr">
        <is>
          <t>Za preverjanje</t>
        </is>
      </c>
      <c r="AC23" s="38" t="inlineStr">
        <is>
          <t>Za preverjanje</t>
        </is>
      </c>
      <c r="AD23" s="38" t="inlineStr">
        <is>
          <t>Predlog – preveriti</t>
        </is>
      </c>
      <c r="AE23" s="38" t="str"/>
      <c r="AF23" s="52" t="n"/>
      <c r="AG23" s="53">
        <f>ROUND((COUNTIF(Q23:X23,"Končano")+IF(Z23="Da",1,0)+IF(AA23="Da",1,0)+IF(AC23="Potrjeno",1,0))/11,2)</f>
        <v/>
      </c>
      <c r="AH23" s="38" t="str"/>
    </row>
    <row r="24">
      <c r="A24" s="38" t="inlineStr">
        <is>
          <t>NMZ-020</t>
        </is>
      </c>
      <c r="B24" s="38" t="n">
        <v>1</v>
      </c>
      <c r="C24" s="38" t="inlineStr">
        <is>
          <t>Loka – Bršljin</t>
        </is>
      </c>
      <c r="D24" s="38" t="inlineStr">
        <is>
          <t>Bližina poti</t>
        </is>
      </c>
      <c r="E24" s="38" t="inlineStr">
        <is>
          <t>Grob borcev Cankarjeve brigade na Marofu</t>
        </is>
      </c>
      <c r="F24" s="38" t="inlineStr">
        <is>
          <t>Marof</t>
        </is>
      </c>
      <c r="G24" s="38" t="inlineStr">
        <is>
          <t>Grob / grobnica</t>
        </is>
      </c>
      <c r="H24" s="38" t="n">
        <v>45.8091</v>
      </c>
      <c r="I24" s="38" t="n">
        <v>15.1658</v>
      </c>
      <c r="J24" s="38" t="inlineStr">
        <is>
          <t>Izhodiščni približek – terensko uskladiti</t>
        </is>
      </c>
      <c r="K24" s="38" t="str"/>
      <c r="L24" s="38" t="inlineStr">
        <is>
          <t>Za preverjanje</t>
        </is>
      </c>
      <c r="M24" s="38" t="inlineStr">
        <is>
          <t>Grob borcev Cankarjeve brigade.</t>
        </is>
      </c>
      <c r="N24" s="38" t="inlineStr">
        <is>
          <t>Cankarjeva brigada; padli borci</t>
        </is>
      </c>
      <c r="O24" s="38" t="inlineStr">
        <is>
          <t>https://partizanstvo.si/</t>
        </is>
      </c>
      <c r="P24" s="38" t="str"/>
      <c r="Q24" s="38" t="inlineStr">
        <is>
          <t>Ni začeto</t>
        </is>
      </c>
      <c r="R24" s="38" t="inlineStr">
        <is>
          <t>Ni začeto</t>
        </is>
      </c>
      <c r="S24" s="38" t="inlineStr">
        <is>
          <t>Ni začeto</t>
        </is>
      </c>
      <c r="T24" s="38" t="inlineStr">
        <is>
          <t>Ni začeto</t>
        </is>
      </c>
      <c r="U24" s="38" t="inlineStr">
        <is>
          <t>Ni začeto</t>
        </is>
      </c>
      <c r="V24" s="38" t="inlineStr">
        <is>
          <t>Ni začeto</t>
        </is>
      </c>
      <c r="W24" s="38" t="inlineStr">
        <is>
          <t>Ni začeto</t>
        </is>
      </c>
      <c r="X24" s="38" t="inlineStr">
        <is>
          <t>Ni začeto</t>
        </is>
      </c>
      <c r="Y24" s="38">
        <f>IF(A24="","",Nastavitve!$B$2&amp;LOWER(A24))</f>
        <v/>
      </c>
      <c r="Z24" s="38" t="inlineStr">
        <is>
          <t>Ne</t>
        </is>
      </c>
      <c r="AA24" s="38" t="inlineStr">
        <is>
          <t>Ne</t>
        </is>
      </c>
      <c r="AB24" s="38" t="inlineStr">
        <is>
          <t>Za preverjanje</t>
        </is>
      </c>
      <c r="AC24" s="38" t="inlineStr">
        <is>
          <t>Za preverjanje</t>
        </is>
      </c>
      <c r="AD24" s="38" t="inlineStr">
        <is>
          <t>Predlog – preveriti</t>
        </is>
      </c>
      <c r="AE24" s="38" t="str"/>
      <c r="AF24" s="52" t="n"/>
      <c r="AG24" s="53">
        <f>ROUND((COUNTIF(Q24:X24,"Končano")+IF(Z24="Da",1,0)+IF(AA24="Da",1,0)+IF(AC24="Potrjeno",1,0))/11,2)</f>
        <v/>
      </c>
      <c r="AH24" s="38" t="str"/>
    </row>
    <row r="25">
      <c r="A25" s="38" t="inlineStr">
        <is>
          <t>NMZ-021</t>
        </is>
      </c>
      <c r="B25" s="38" t="n">
        <v>1</v>
      </c>
      <c r="C25" s="38" t="inlineStr">
        <is>
          <t>Loka – Bršljin</t>
        </is>
      </c>
      <c r="D25" s="38" t="inlineStr">
        <is>
          <t>Osnovna pot / bližina</t>
        </is>
      </c>
      <c r="E25" s="38" t="inlineStr">
        <is>
          <t>Spominska plošča padlim iz Bršljina</t>
        </is>
      </c>
      <c r="F25" s="38" t="inlineStr">
        <is>
          <t>Bršljin</t>
        </is>
      </c>
      <c r="G25" s="38" t="inlineStr">
        <is>
          <t>Spominska plošča</t>
        </is>
      </c>
      <c r="H25" s="38" t="n">
        <v>45.8192</v>
      </c>
      <c r="I25" s="38" t="n">
        <v>15.1814</v>
      </c>
      <c r="J25" s="38" t="inlineStr">
        <is>
          <t>Izhodiščni približek – terensko uskladiti</t>
        </is>
      </c>
      <c r="K25" s="38" t="inlineStr">
        <is>
          <t>15656</t>
        </is>
      </c>
      <c r="L25" s="38" t="inlineStr">
        <is>
          <t>Vpisano</t>
        </is>
      </c>
      <c r="M25" s="38" t="inlineStr">
        <is>
          <t>Spominska plošča padlim domačinom iz Bršljina.</t>
        </is>
      </c>
      <c r="N25" s="38" t="inlineStr">
        <is>
          <t>Lokalni odpor; padli domačini</t>
        </is>
      </c>
      <c r="O25" s="38" t="inlineStr">
        <is>
          <t>https://partizanstvo.si/</t>
        </is>
      </c>
      <c r="P25" s="38" t="inlineStr">
        <is>
          <t>https://www.novomesto.si/dolenjski-uradni-list/dul-objave/2017110308141094/odlok_o_razglasitvi__nepremicnih_kulturnih_spomenikov_lokalnega_pomena_na_obmocju_mestne_obcine_novo_mesto/</t>
        </is>
      </c>
      <c r="Q25" s="38" t="inlineStr">
        <is>
          <t>Ni začeto</t>
        </is>
      </c>
      <c r="R25" s="38" t="inlineStr">
        <is>
          <t>Ni začeto</t>
        </is>
      </c>
      <c r="S25" s="38" t="inlineStr">
        <is>
          <t>Ni začeto</t>
        </is>
      </c>
      <c r="T25" s="38" t="inlineStr">
        <is>
          <t>Ni začeto</t>
        </is>
      </c>
      <c r="U25" s="38" t="inlineStr">
        <is>
          <t>Ni začeto</t>
        </is>
      </c>
      <c r="V25" s="38" t="inlineStr">
        <is>
          <t>Ni začeto</t>
        </is>
      </c>
      <c r="W25" s="38" t="inlineStr">
        <is>
          <t>Ni začeto</t>
        </is>
      </c>
      <c r="X25" s="38" t="inlineStr">
        <is>
          <t>Ni začeto</t>
        </is>
      </c>
      <c r="Y25" s="38">
        <f>IF(A25="","",Nastavitve!$B$2&amp;LOWER(A25))</f>
        <v/>
      </c>
      <c r="Z25" s="38" t="inlineStr">
        <is>
          <t>Ne</t>
        </is>
      </c>
      <c r="AA25" s="38" t="inlineStr">
        <is>
          <t>Ne</t>
        </is>
      </c>
      <c r="AB25" s="38" t="inlineStr">
        <is>
          <t>Za preverjanje</t>
        </is>
      </c>
      <c r="AC25" s="38" t="inlineStr">
        <is>
          <t>Za preverjanje</t>
        </is>
      </c>
      <c r="AD25" s="38" t="inlineStr">
        <is>
          <t>Predlog – preveriti</t>
        </is>
      </c>
      <c r="AE25" s="38" t="str"/>
      <c r="AF25" s="52" t="n"/>
      <c r="AG25" s="53">
        <f>ROUND((COUNTIF(Q25:X25,"Končano")+IF(Z25="Da",1,0)+IF(AA25="Da",1,0)+IF(AC25="Potrjeno",1,0))/11,2)</f>
        <v/>
      </c>
      <c r="AH25" s="38" t="str"/>
    </row>
    <row r="26">
      <c r="A26" s="38" t="inlineStr">
        <is>
          <t>NMZ-022</t>
        </is>
      </c>
      <c r="B26" s="38" t="n">
        <v>1</v>
      </c>
      <c r="C26" s="38" t="inlineStr">
        <is>
          <t>Loka – Bršljin</t>
        </is>
      </c>
      <c r="D26" s="38" t="inlineStr">
        <is>
          <t>Osnovna pot / bližina</t>
        </is>
      </c>
      <c r="E26" s="38" t="inlineStr">
        <is>
          <t>Spominska plošča Kastelčevi družini</t>
        </is>
      </c>
      <c r="F26" s="38" t="inlineStr">
        <is>
          <t>Bršljin</t>
        </is>
      </c>
      <c r="G26" s="38" t="inlineStr">
        <is>
          <t>Spominska plošča</t>
        </is>
      </c>
      <c r="H26" s="38" t="n">
        <v>45.82</v>
      </c>
      <c r="I26" s="38" t="n">
        <v>15.1821</v>
      </c>
      <c r="J26" s="38" t="inlineStr">
        <is>
          <t>Izhodiščni približek – terensko uskladiti</t>
        </is>
      </c>
      <c r="K26" s="38" t="inlineStr">
        <is>
          <t>15655</t>
        </is>
      </c>
      <c r="L26" s="38" t="inlineStr">
        <is>
          <t>Vpisano</t>
        </is>
      </c>
      <c r="M26" s="38" t="inlineStr">
        <is>
          <t>Spomin na Kastelčevo družino.</t>
        </is>
      </c>
      <c r="N26" s="38" t="inlineStr">
        <is>
          <t>Družinska zgodba; žrtve / odpor</t>
        </is>
      </c>
      <c r="O26" s="38" t="inlineStr">
        <is>
          <t>https://partizanstvo.si/</t>
        </is>
      </c>
      <c r="P26" s="38" t="inlineStr">
        <is>
          <t>https://www.novomesto.si/dolenjski-uradni-list/dul-objave/2017110308141094/odlok_o_razglasitvi__nepremicnih_kulturnih_spomenikov_lokalnega_pomena_na_obmocju_mestne_obcine_novo_mesto/</t>
        </is>
      </c>
      <c r="Q26" s="38" t="inlineStr">
        <is>
          <t>Ni začeto</t>
        </is>
      </c>
      <c r="R26" s="38" t="inlineStr">
        <is>
          <t>Ni začeto</t>
        </is>
      </c>
      <c r="S26" s="38" t="inlineStr">
        <is>
          <t>Ni začeto</t>
        </is>
      </c>
      <c r="T26" s="38" t="inlineStr">
        <is>
          <t>Ni začeto</t>
        </is>
      </c>
      <c r="U26" s="38" t="inlineStr">
        <is>
          <t>Ni začeto</t>
        </is>
      </c>
      <c r="V26" s="38" t="inlineStr">
        <is>
          <t>Ni začeto</t>
        </is>
      </c>
      <c r="W26" s="38" t="inlineStr">
        <is>
          <t>Ni začeto</t>
        </is>
      </c>
      <c r="X26" s="38" t="inlineStr">
        <is>
          <t>Ni začeto</t>
        </is>
      </c>
      <c r="Y26" s="38">
        <f>IF(A26="","",Nastavitve!$B$2&amp;LOWER(A26))</f>
        <v/>
      </c>
      <c r="Z26" s="38" t="inlineStr">
        <is>
          <t>Ne</t>
        </is>
      </c>
      <c r="AA26" s="38" t="inlineStr">
        <is>
          <t>Ne</t>
        </is>
      </c>
      <c r="AB26" s="38" t="inlineStr">
        <is>
          <t>Za preverjanje</t>
        </is>
      </c>
      <c r="AC26" s="38" t="inlineStr">
        <is>
          <t>Za preverjanje</t>
        </is>
      </c>
      <c r="AD26" s="38" t="inlineStr">
        <is>
          <t>Predlog – preveriti</t>
        </is>
      </c>
      <c r="AE26" s="38" t="str"/>
      <c r="AF26" s="52" t="n"/>
      <c r="AG26" s="53">
        <f>ROUND((COUNTIF(Q26:X26,"Končano")+IF(Z26="Da",1,0)+IF(AA26="Da",1,0)+IF(AC26="Potrjeno",1,0))/11,2)</f>
        <v/>
      </c>
      <c r="AH26" s="38" t="str"/>
    </row>
    <row r="27">
      <c r="A27" s="38" t="inlineStr">
        <is>
          <t>NMZ-023</t>
        </is>
      </c>
      <c r="B27" s="38" t="n">
        <v>1</v>
      </c>
      <c r="C27" s="38" t="inlineStr">
        <is>
          <t>Loka – Bršljin</t>
        </is>
      </c>
      <c r="D27" s="38" t="inlineStr">
        <is>
          <t>Osnovna pot / bližina</t>
        </is>
      </c>
      <c r="E27" s="38" t="inlineStr">
        <is>
          <t>Spominska plošča padlim železničarjem</t>
        </is>
      </c>
      <c r="F27" s="38" t="inlineStr">
        <is>
          <t>Železniška postaja Bršljin</t>
        </is>
      </c>
      <c r="G27" s="38" t="inlineStr">
        <is>
          <t>Spominska plošča</t>
        </is>
      </c>
      <c r="H27" s="38" t="n">
        <v>45.8184</v>
      </c>
      <c r="I27" s="38" t="n">
        <v>15.179</v>
      </c>
      <c r="J27" s="38" t="inlineStr">
        <is>
          <t>Izhodiščni približek – terensko uskladiti</t>
        </is>
      </c>
      <c r="K27" s="38" t="str"/>
      <c r="L27" s="38" t="inlineStr">
        <is>
          <t>Za preverjanje</t>
        </is>
      </c>
      <c r="M27" s="38" t="inlineStr">
        <is>
          <t>Spominska plošča padlim železničarjem.</t>
        </is>
      </c>
      <c r="N27" s="38" t="inlineStr">
        <is>
          <t>Železničarji; odpor; logistika</t>
        </is>
      </c>
      <c r="O27" s="38" t="inlineStr">
        <is>
          <t>https://partizanstvo.si/</t>
        </is>
      </c>
      <c r="P27" s="38" t="str"/>
      <c r="Q27" s="38" t="inlineStr">
        <is>
          <t>Ni začeto</t>
        </is>
      </c>
      <c r="R27" s="38" t="inlineStr">
        <is>
          <t>Ni začeto</t>
        </is>
      </c>
      <c r="S27" s="38" t="inlineStr">
        <is>
          <t>Ni začeto</t>
        </is>
      </c>
      <c r="T27" s="38" t="inlineStr">
        <is>
          <t>Ni začeto</t>
        </is>
      </c>
      <c r="U27" s="38" t="inlineStr">
        <is>
          <t>Ni začeto</t>
        </is>
      </c>
      <c r="V27" s="38" t="inlineStr">
        <is>
          <t>Ni začeto</t>
        </is>
      </c>
      <c r="W27" s="38" t="inlineStr">
        <is>
          <t>Ni začeto</t>
        </is>
      </c>
      <c r="X27" s="38" t="inlineStr">
        <is>
          <t>Ni začeto</t>
        </is>
      </c>
      <c r="Y27" s="38">
        <f>IF(A27="","",Nastavitve!$B$2&amp;LOWER(A27))</f>
        <v/>
      </c>
      <c r="Z27" s="38" t="inlineStr">
        <is>
          <t>Ne</t>
        </is>
      </c>
      <c r="AA27" s="38" t="inlineStr">
        <is>
          <t>Ne</t>
        </is>
      </c>
      <c r="AB27" s="38" t="inlineStr">
        <is>
          <t>Za preverjanje</t>
        </is>
      </c>
      <c r="AC27" s="38" t="inlineStr">
        <is>
          <t>Za preverjanje</t>
        </is>
      </c>
      <c r="AD27" s="38" t="inlineStr">
        <is>
          <t>Predlog – preveriti</t>
        </is>
      </c>
      <c r="AE27" s="38" t="str"/>
      <c r="AF27" s="52" t="n"/>
      <c r="AG27" s="53">
        <f>ROUND((COUNTIF(Q27:X27,"Končano")+IF(Z27="Da",1,0)+IF(AA27="Da",1,0)+IF(AC27="Potrjeno",1,0))/11,2)</f>
        <v/>
      </c>
      <c r="AH27" s="38" t="str"/>
    </row>
    <row r="28">
      <c r="A28" s="38" t="inlineStr">
        <is>
          <t>NMZ-024</t>
        </is>
      </c>
      <c r="B28" s="38" t="n">
        <v>1</v>
      </c>
      <c r="C28" s="38" t="inlineStr">
        <is>
          <t>Loka – Bršljin</t>
        </is>
      </c>
      <c r="D28" s="38" t="inlineStr">
        <is>
          <t>Osnovna pot / bližina</t>
        </is>
      </c>
      <c r="E28" s="38" t="inlineStr">
        <is>
          <t>Spominska plošča na železniški kurilnici</t>
        </is>
      </c>
      <c r="F28" s="38" t="inlineStr">
        <is>
          <t>Bršljin</t>
        </is>
      </c>
      <c r="G28" s="38" t="inlineStr">
        <is>
          <t>Spominska plošča</t>
        </is>
      </c>
      <c r="H28" s="38" t="n">
        <v>45.8176</v>
      </c>
      <c r="I28" s="38" t="n">
        <v>15.18</v>
      </c>
      <c r="J28" s="38" t="inlineStr">
        <is>
          <t>Izhodiščni približek – terensko uskladiti</t>
        </is>
      </c>
      <c r="K28" s="38" t="str"/>
      <c r="L28" s="38" t="inlineStr">
        <is>
          <t>Za preverjanje</t>
        </is>
      </c>
      <c r="M28" s="38" t="inlineStr">
        <is>
          <t>Obeležje železničarjem in vlogi železnice v času NOB.</t>
        </is>
      </c>
      <c r="N28" s="38" t="inlineStr">
        <is>
          <t>Železničarji; odpor</t>
        </is>
      </c>
      <c r="O28" s="38" t="inlineStr">
        <is>
          <t>https://partizanstvo.si/</t>
        </is>
      </c>
      <c r="P28" s="38" t="str"/>
      <c r="Q28" s="38" t="inlineStr">
        <is>
          <t>Ni začeto</t>
        </is>
      </c>
      <c r="R28" s="38" t="inlineStr">
        <is>
          <t>Ni začeto</t>
        </is>
      </c>
      <c r="S28" s="38" t="inlineStr">
        <is>
          <t>Ni začeto</t>
        </is>
      </c>
      <c r="T28" s="38" t="inlineStr">
        <is>
          <t>Ni začeto</t>
        </is>
      </c>
      <c r="U28" s="38" t="inlineStr">
        <is>
          <t>Ni začeto</t>
        </is>
      </c>
      <c r="V28" s="38" t="inlineStr">
        <is>
          <t>Ni začeto</t>
        </is>
      </c>
      <c r="W28" s="38" t="inlineStr">
        <is>
          <t>Ni začeto</t>
        </is>
      </c>
      <c r="X28" s="38" t="inlineStr">
        <is>
          <t>Ni začeto</t>
        </is>
      </c>
      <c r="Y28" s="38">
        <f>IF(A28="","",Nastavitve!$B$2&amp;LOWER(A28))</f>
        <v/>
      </c>
      <c r="Z28" s="38" t="inlineStr">
        <is>
          <t>Ne</t>
        </is>
      </c>
      <c r="AA28" s="38" t="inlineStr">
        <is>
          <t>Ne</t>
        </is>
      </c>
      <c r="AB28" s="38" t="inlineStr">
        <is>
          <t>Za preverjanje</t>
        </is>
      </c>
      <c r="AC28" s="38" t="inlineStr">
        <is>
          <t>Za preverjanje</t>
        </is>
      </c>
      <c r="AD28" s="38" t="inlineStr">
        <is>
          <t>Predlog – preveriti</t>
        </is>
      </c>
      <c r="AE28" s="38" t="str"/>
      <c r="AF28" s="52" t="n"/>
      <c r="AG28" s="53">
        <f>ROUND((COUNTIF(Q28:X28,"Končano")+IF(Z28="Da",1,0)+IF(AA28="Da",1,0)+IF(AC28="Potrjeno",1,0))/11,2)</f>
        <v/>
      </c>
      <c r="AH28" s="38" t="str"/>
    </row>
    <row r="29">
      <c r="A29" s="38" t="inlineStr">
        <is>
          <t>NMZ-025</t>
        </is>
      </c>
      <c r="B29" s="38" t="n">
        <v>2</v>
      </c>
      <c r="C29" s="38" t="inlineStr">
        <is>
          <t>Bršljin – Bučna vas</t>
        </is>
      </c>
      <c r="D29" s="38" t="inlineStr">
        <is>
          <t>Bližina poti</t>
        </is>
      </c>
      <c r="E29" s="38" t="inlineStr">
        <is>
          <t>Spomenik Milanu Majcnu</t>
        </is>
      </c>
      <c r="F29" s="38" t="inlineStr">
        <is>
          <t>Vojašnica / Bršljin</t>
        </is>
      </c>
      <c r="G29" s="38" t="inlineStr">
        <is>
          <t>Spomenik</t>
        </is>
      </c>
      <c r="H29" s="38" t="n">
        <v>45.821</v>
      </c>
      <c r="I29" s="38" t="n">
        <v>15.1849</v>
      </c>
      <c r="J29" s="38" t="inlineStr">
        <is>
          <t>Izhodiščni približek – terensko uskladiti</t>
        </is>
      </c>
      <c r="K29" s="38" t="str"/>
      <c r="L29" s="38" t="inlineStr">
        <is>
          <t>Za preverjanje</t>
        </is>
      </c>
      <c r="M29" s="38" t="inlineStr">
        <is>
          <t>Spomenik Milanu Majcnu; preveriti režim dostopa zaradi lokacije.</t>
        </is>
      </c>
      <c r="N29" s="38" t="inlineStr">
        <is>
          <t>Milan Majcen; odpor</t>
        </is>
      </c>
      <c r="O29" s="38" t="inlineStr">
        <is>
          <t>https://partizanstvo.si/</t>
        </is>
      </c>
      <c r="P29" s="38" t="str"/>
      <c r="Q29" s="38" t="inlineStr">
        <is>
          <t>Ni začeto</t>
        </is>
      </c>
      <c r="R29" s="38" t="inlineStr">
        <is>
          <t>Ni začeto</t>
        </is>
      </c>
      <c r="S29" s="38" t="inlineStr">
        <is>
          <t>Ni začeto</t>
        </is>
      </c>
      <c r="T29" s="38" t="inlineStr">
        <is>
          <t>Ni začeto</t>
        </is>
      </c>
      <c r="U29" s="38" t="inlineStr">
        <is>
          <t>Ni začeto</t>
        </is>
      </c>
      <c r="V29" s="38" t="inlineStr">
        <is>
          <t>Ni začeto</t>
        </is>
      </c>
      <c r="W29" s="38" t="inlineStr">
        <is>
          <t>Ni začeto</t>
        </is>
      </c>
      <c r="X29" s="38" t="inlineStr">
        <is>
          <t>Ni začeto</t>
        </is>
      </c>
      <c r="Y29" s="38">
        <f>IF(A29="","",Nastavitve!$B$2&amp;LOWER(A29))</f>
        <v/>
      </c>
      <c r="Z29" s="38" t="inlineStr">
        <is>
          <t>Ne</t>
        </is>
      </c>
      <c r="AA29" s="38" t="inlineStr">
        <is>
          <t>Ne</t>
        </is>
      </c>
      <c r="AB29" s="38" t="inlineStr">
        <is>
          <t>Za preverjanje</t>
        </is>
      </c>
      <c r="AC29" s="38" t="inlineStr">
        <is>
          <t>Za preverjanje</t>
        </is>
      </c>
      <c r="AD29" s="38" t="inlineStr">
        <is>
          <t>Predlog – preveriti</t>
        </is>
      </c>
      <c r="AE29" s="38" t="str"/>
      <c r="AF29" s="52" t="n"/>
      <c r="AG29" s="53">
        <f>ROUND((COUNTIF(Q29:X29,"Končano")+IF(Z29="Da",1,0)+IF(AA29="Da",1,0)+IF(AC29="Potrjeno",1,0))/11,2)</f>
        <v/>
      </c>
      <c r="AH29" s="38" t="str"/>
    </row>
    <row r="30">
      <c r="A30" s="38" t="inlineStr">
        <is>
          <t>NMZ-026</t>
        </is>
      </c>
      <c r="B30" s="38" t="n">
        <v>2</v>
      </c>
      <c r="C30" s="38" t="inlineStr">
        <is>
          <t>Bršljin – Bučna vas</t>
        </is>
      </c>
      <c r="D30" s="38" t="inlineStr">
        <is>
          <t>Osnovna pot / bližina</t>
        </is>
      </c>
      <c r="E30" s="38" t="inlineStr">
        <is>
          <t>Spomenik NOB v Veliki Bučni vasi</t>
        </is>
      </c>
      <c r="F30" s="38" t="inlineStr">
        <is>
          <t>Velika Bučna vas</t>
        </is>
      </c>
      <c r="G30" s="38" t="inlineStr">
        <is>
          <t>Spomenik</t>
        </is>
      </c>
      <c r="H30" s="38" t="n">
        <v>45.8242</v>
      </c>
      <c r="I30" s="38" t="n">
        <v>15.1998</v>
      </c>
      <c r="J30" s="38" t="inlineStr">
        <is>
          <t>Izhodiščni približek – terensko uskladiti</t>
        </is>
      </c>
      <c r="K30" s="38" t="inlineStr">
        <is>
          <t>8707</t>
        </is>
      </c>
      <c r="L30" s="38" t="inlineStr">
        <is>
          <t>Vpisano</t>
        </is>
      </c>
      <c r="M30" s="38" t="inlineStr">
        <is>
          <t>Osrednje NOB obeležje v Veliki Bučni vasi.</t>
        </is>
      </c>
      <c r="N30" s="38" t="inlineStr">
        <is>
          <t>Lokalni odpor; padli</t>
        </is>
      </c>
      <c r="O30" s="38" t="inlineStr">
        <is>
          <t>https://www.novomesto.si/dolenjski-uradni-list/dul-objave/2017110308141094/odlok_o_razglasitvi__nepremicnih_kulturnih_spomenikov_lokalnega_pomena_na_obmocju_mestne_obcine_novo_mesto/</t>
        </is>
      </c>
      <c r="P30" s="38" t="inlineStr">
        <is>
          <t>https://partizanstvo.si/</t>
        </is>
      </c>
      <c r="Q30" s="38" t="inlineStr">
        <is>
          <t>Ni začeto</t>
        </is>
      </c>
      <c r="R30" s="38" t="inlineStr">
        <is>
          <t>Ni začeto</t>
        </is>
      </c>
      <c r="S30" s="38" t="inlineStr">
        <is>
          <t>Ni začeto</t>
        </is>
      </c>
      <c r="T30" s="38" t="inlineStr">
        <is>
          <t>Ni začeto</t>
        </is>
      </c>
      <c r="U30" s="38" t="inlineStr">
        <is>
          <t>Ni začeto</t>
        </is>
      </c>
      <c r="V30" s="38" t="inlineStr">
        <is>
          <t>Ni začeto</t>
        </is>
      </c>
      <c r="W30" s="38" t="inlineStr">
        <is>
          <t>Ni začeto</t>
        </is>
      </c>
      <c r="X30" s="38" t="inlineStr">
        <is>
          <t>Ni začeto</t>
        </is>
      </c>
      <c r="Y30" s="38">
        <f>IF(A30="","",Nastavitve!$B$2&amp;LOWER(A30))</f>
        <v/>
      </c>
      <c r="Z30" s="38" t="inlineStr">
        <is>
          <t>Ne</t>
        </is>
      </c>
      <c r="AA30" s="38" t="inlineStr">
        <is>
          <t>Ne</t>
        </is>
      </c>
      <c r="AB30" s="38" t="inlineStr">
        <is>
          <t>Za preverjanje</t>
        </is>
      </c>
      <c r="AC30" s="38" t="inlineStr">
        <is>
          <t>Za preverjanje</t>
        </is>
      </c>
      <c r="AD30" s="38" t="inlineStr">
        <is>
          <t>Predlog – preveriti</t>
        </is>
      </c>
      <c r="AE30" s="38" t="str"/>
      <c r="AF30" s="52" t="n"/>
      <c r="AG30" s="53">
        <f>ROUND((COUNTIF(Q30:X30,"Končano")+IF(Z30="Da",1,0)+IF(AA30="Da",1,0)+IF(AC30="Potrjeno",1,0))/11,2)</f>
        <v/>
      </c>
      <c r="AH30" s="38" t="str"/>
    </row>
    <row r="31">
      <c r="A31" s="38" t="inlineStr">
        <is>
          <t>NMZ-027</t>
        </is>
      </c>
      <c r="B31" s="38" t="n">
        <v>2</v>
      </c>
      <c r="C31" s="38" t="inlineStr">
        <is>
          <t>Bršljin – Bučna vas</t>
        </is>
      </c>
      <c r="D31" s="38" t="inlineStr">
        <is>
          <t>Osnovna pot / bližina</t>
        </is>
      </c>
      <c r="E31" s="38" t="inlineStr">
        <is>
          <t>Plošča Železničarski brigadi</t>
        </is>
      </c>
      <c r="F31" s="38" t="inlineStr">
        <is>
          <t>Velika Bučna vas</t>
        </is>
      </c>
      <c r="G31" s="38" t="inlineStr">
        <is>
          <t>Spominska plošča</t>
        </is>
      </c>
      <c r="H31" s="38" t="n">
        <v>45.8235</v>
      </c>
      <c r="I31" s="38" t="n">
        <v>15.2011</v>
      </c>
      <c r="J31" s="38" t="inlineStr">
        <is>
          <t>Izhodiščni približek – terensko uskladiti</t>
        </is>
      </c>
      <c r="K31" s="38" t="str"/>
      <c r="L31" s="38" t="inlineStr">
        <is>
          <t>Za preverjanje</t>
        </is>
      </c>
      <c r="M31" s="38" t="inlineStr">
        <is>
          <t>Spominska točka, povezana z Železničarsko brigado.</t>
        </is>
      </c>
      <c r="N31" s="38" t="inlineStr">
        <is>
          <t>Železničarska brigada; organiziranje odpora</t>
        </is>
      </c>
      <c r="O31" s="38" t="inlineStr">
        <is>
          <t>https://partizanstvo.si/</t>
        </is>
      </c>
      <c r="P31" s="38" t="str"/>
      <c r="Q31" s="38" t="inlineStr">
        <is>
          <t>Ni začeto</t>
        </is>
      </c>
      <c r="R31" s="38" t="inlineStr">
        <is>
          <t>Ni začeto</t>
        </is>
      </c>
      <c r="S31" s="38" t="inlineStr">
        <is>
          <t>Ni začeto</t>
        </is>
      </c>
      <c r="T31" s="38" t="inlineStr">
        <is>
          <t>Ni začeto</t>
        </is>
      </c>
      <c r="U31" s="38" t="inlineStr">
        <is>
          <t>Ni začeto</t>
        </is>
      </c>
      <c r="V31" s="38" t="inlineStr">
        <is>
          <t>Ni začeto</t>
        </is>
      </c>
      <c r="W31" s="38" t="inlineStr">
        <is>
          <t>Ni začeto</t>
        </is>
      </c>
      <c r="X31" s="38" t="inlineStr">
        <is>
          <t>Ni začeto</t>
        </is>
      </c>
      <c r="Y31" s="38">
        <f>IF(A31="","",Nastavitve!$B$2&amp;LOWER(A31))</f>
        <v/>
      </c>
      <c r="Z31" s="38" t="inlineStr">
        <is>
          <t>Ne</t>
        </is>
      </c>
      <c r="AA31" s="38" t="inlineStr">
        <is>
          <t>Ne</t>
        </is>
      </c>
      <c r="AB31" s="38" t="inlineStr">
        <is>
          <t>Za preverjanje</t>
        </is>
      </c>
      <c r="AC31" s="38" t="inlineStr">
        <is>
          <t>Za preverjanje</t>
        </is>
      </c>
      <c r="AD31" s="38" t="inlineStr">
        <is>
          <t>Predlog – preveriti</t>
        </is>
      </c>
      <c r="AE31" s="38" t="str"/>
      <c r="AF31" s="52" t="n"/>
      <c r="AG31" s="53">
        <f>ROUND((COUNTIF(Q31:X31,"Končano")+IF(Z31="Da",1,0)+IF(AA31="Da",1,0)+IF(AC31="Potrjeno",1,0))/11,2)</f>
        <v/>
      </c>
      <c r="AH31" s="38" t="str"/>
    </row>
    <row r="32">
      <c r="A32" s="38" t="inlineStr">
        <is>
          <t>NMZ-028</t>
        </is>
      </c>
      <c r="B32" s="38" t="n">
        <v>3</v>
      </c>
      <c r="C32" s="38" t="inlineStr">
        <is>
          <t>Bučna vas – Ragovo</t>
        </is>
      </c>
      <c r="D32" s="38" t="inlineStr">
        <is>
          <t>Bližina poti</t>
        </is>
      </c>
      <c r="E32" s="38" t="inlineStr">
        <is>
          <t>Grobnica NOB na pokopališču Ločna</t>
        </is>
      </c>
      <c r="F32" s="38" t="inlineStr">
        <is>
          <t>Ločna</t>
        </is>
      </c>
      <c r="G32" s="38" t="inlineStr">
        <is>
          <t>Grobnica</t>
        </is>
      </c>
      <c r="H32" s="38" t="n">
        <v>45.8165</v>
      </c>
      <c r="I32" s="38" t="n">
        <v>15.1897</v>
      </c>
      <c r="J32" s="38" t="inlineStr">
        <is>
          <t>Izhodiščni približek – terensko uskladiti</t>
        </is>
      </c>
      <c r="K32" s="38" t="inlineStr">
        <is>
          <t>4218</t>
        </is>
      </c>
      <c r="L32" s="38" t="inlineStr">
        <is>
          <t>Vpisano</t>
        </is>
      </c>
      <c r="M32" s="38" t="inlineStr">
        <is>
          <t>Grobnica padlih iz časa NOB na pokopališču Ločna.</t>
        </is>
      </c>
      <c r="N32" s="38" t="inlineStr">
        <is>
          <t>Padli borci; spomin</t>
        </is>
      </c>
      <c r="O32" s="38" t="inlineStr">
        <is>
          <t>https://partizanstvo.si/</t>
        </is>
      </c>
      <c r="P32" s="38" t="inlineStr">
        <is>
          <t>https://www.novomesto.si/dolenjski-uradni-list/dul-objave/2017110308141094/odlok_o_razglasitvi__nepremicnih_kulturnih_spomenikov_lokalnega_pomena_na_obmocju_mestne_obcine_novo_mesto/</t>
        </is>
      </c>
      <c r="Q32" s="38" t="inlineStr">
        <is>
          <t>Ni začeto</t>
        </is>
      </c>
      <c r="R32" s="38" t="inlineStr">
        <is>
          <t>Ni začeto</t>
        </is>
      </c>
      <c r="S32" s="38" t="inlineStr">
        <is>
          <t>Ni začeto</t>
        </is>
      </c>
      <c r="T32" s="38" t="inlineStr">
        <is>
          <t>Ni začeto</t>
        </is>
      </c>
      <c r="U32" s="38" t="inlineStr">
        <is>
          <t>Ni začeto</t>
        </is>
      </c>
      <c r="V32" s="38" t="inlineStr">
        <is>
          <t>Ni začeto</t>
        </is>
      </c>
      <c r="W32" s="38" t="inlineStr">
        <is>
          <t>Ni začeto</t>
        </is>
      </c>
      <c r="X32" s="38" t="inlineStr">
        <is>
          <t>Ni začeto</t>
        </is>
      </c>
      <c r="Y32" s="38">
        <f>IF(A32="","",Nastavitve!$B$2&amp;LOWER(A32))</f>
        <v/>
      </c>
      <c r="Z32" s="38" t="inlineStr">
        <is>
          <t>Ne</t>
        </is>
      </c>
      <c r="AA32" s="38" t="inlineStr">
        <is>
          <t>Ne</t>
        </is>
      </c>
      <c r="AB32" s="38" t="inlineStr">
        <is>
          <t>Za preverjanje</t>
        </is>
      </c>
      <c r="AC32" s="38" t="inlineStr">
        <is>
          <t>Za preverjanje</t>
        </is>
      </c>
      <c r="AD32" s="38" t="inlineStr">
        <is>
          <t>Predlog – preveriti</t>
        </is>
      </c>
      <c r="AE32" s="38" t="str"/>
      <c r="AF32" s="52" t="n"/>
      <c r="AG32" s="53">
        <f>ROUND((COUNTIF(Q32:X32,"Končano")+IF(Z32="Da",1,0)+IF(AA32="Da",1,0)+IF(AC32="Potrjeno",1,0))/11,2)</f>
        <v/>
      </c>
      <c r="AH32" s="38" t="str"/>
    </row>
    <row r="33">
      <c r="A33" s="38" t="inlineStr">
        <is>
          <t>NMZ-029</t>
        </is>
      </c>
      <c r="B33" s="38" t="n">
        <v>3</v>
      </c>
      <c r="C33" s="38" t="inlineStr">
        <is>
          <t>Bučna vas – Ragovo</t>
        </is>
      </c>
      <c r="D33" s="38" t="inlineStr">
        <is>
          <t>Bližina poti</t>
        </is>
      </c>
      <c r="E33" s="38" t="inlineStr">
        <is>
          <t>Grob Antona Štrasnerja</t>
        </is>
      </c>
      <c r="F33" s="38" t="inlineStr">
        <is>
          <t>Ločna</t>
        </is>
      </c>
      <c r="G33" s="38" t="inlineStr">
        <is>
          <t>Grob</t>
        </is>
      </c>
      <c r="H33" s="38" t="n">
        <v>45.8174</v>
      </c>
      <c r="I33" s="38" t="n">
        <v>15.1905</v>
      </c>
      <c r="J33" s="38" t="inlineStr">
        <is>
          <t>Izhodiščni približek – terensko uskladiti</t>
        </is>
      </c>
      <c r="K33" s="38" t="str"/>
      <c r="L33" s="38" t="inlineStr">
        <is>
          <t>Za preverjanje</t>
        </is>
      </c>
      <c r="M33" s="38" t="inlineStr">
        <is>
          <t>Grob Antona Štrasnerja, povezan z zgodbo obešanja leta 1943.</t>
        </is>
      </c>
      <c r="N33" s="38" t="inlineStr">
        <is>
          <t>Anton Štrasner; represija</t>
        </is>
      </c>
      <c r="O33" s="38" t="inlineStr">
        <is>
          <t>https://partizanstvo.si/</t>
        </is>
      </c>
      <c r="P33" s="38" t="str"/>
      <c r="Q33" s="38" t="inlineStr">
        <is>
          <t>Ni začeto</t>
        </is>
      </c>
      <c r="R33" s="38" t="inlineStr">
        <is>
          <t>Ni začeto</t>
        </is>
      </c>
      <c r="S33" s="38" t="inlineStr">
        <is>
          <t>Ni začeto</t>
        </is>
      </c>
      <c r="T33" s="38" t="inlineStr">
        <is>
          <t>Ni začeto</t>
        </is>
      </c>
      <c r="U33" s="38" t="inlineStr">
        <is>
          <t>Ni začeto</t>
        </is>
      </c>
      <c r="V33" s="38" t="inlineStr">
        <is>
          <t>Ni začeto</t>
        </is>
      </c>
      <c r="W33" s="38" t="inlineStr">
        <is>
          <t>Ni začeto</t>
        </is>
      </c>
      <c r="X33" s="38" t="inlineStr">
        <is>
          <t>Ni začeto</t>
        </is>
      </c>
      <c r="Y33" s="38">
        <f>IF(A33="","",Nastavitve!$B$2&amp;LOWER(A33))</f>
        <v/>
      </c>
      <c r="Z33" s="38" t="inlineStr">
        <is>
          <t>Ne</t>
        </is>
      </c>
      <c r="AA33" s="38" t="inlineStr">
        <is>
          <t>Ne</t>
        </is>
      </c>
      <c r="AB33" s="38" t="inlineStr">
        <is>
          <t>Za preverjanje</t>
        </is>
      </c>
      <c r="AC33" s="38" t="inlineStr">
        <is>
          <t>Za preverjanje</t>
        </is>
      </c>
      <c r="AD33" s="38" t="inlineStr">
        <is>
          <t>Predlog – preveriti</t>
        </is>
      </c>
      <c r="AE33" s="38" t="str"/>
      <c r="AF33" s="52" t="n"/>
      <c r="AG33" s="53">
        <f>ROUND((COUNTIF(Q33:X33,"Končano")+IF(Z33="Da",1,0)+IF(AA33="Da",1,0)+IF(AC33="Potrjeno",1,0))/11,2)</f>
        <v/>
      </c>
      <c r="AH33" s="38" t="str"/>
    </row>
    <row r="34">
      <c r="A34" s="38" t="inlineStr">
        <is>
          <t>NMZ-030</t>
        </is>
      </c>
      <c r="B34" s="38" t="n">
        <v>3</v>
      </c>
      <c r="C34" s="38" t="inlineStr">
        <is>
          <t>Bučna vas – Ragovo</t>
        </is>
      </c>
      <c r="D34" s="38" t="inlineStr">
        <is>
          <t>Bližina poti</t>
        </is>
      </c>
      <c r="E34" s="38" t="inlineStr">
        <is>
          <t>Spominska plošča padlim gasilcem</t>
        </is>
      </c>
      <c r="F34" s="38" t="inlineStr">
        <is>
          <t>Seidlova cesta</t>
        </is>
      </c>
      <c r="G34" s="38" t="inlineStr">
        <is>
          <t>Spominska plošča</t>
        </is>
      </c>
      <c r="H34" s="38" t="n">
        <v>45.8077</v>
      </c>
      <c r="I34" s="38" t="n">
        <v>15.1731</v>
      </c>
      <c r="J34" s="38" t="inlineStr">
        <is>
          <t>Izhodiščni približek – terensko uskladiti</t>
        </is>
      </c>
      <c r="K34" s="38" t="str"/>
      <c r="L34" s="38" t="inlineStr">
        <is>
          <t>Za preverjanje</t>
        </is>
      </c>
      <c r="M34" s="38" t="inlineStr">
        <is>
          <t>Spomin na padle gasilce.</t>
        </is>
      </c>
      <c r="N34" s="38" t="inlineStr">
        <is>
          <t>Gasilstvo; lokalna skupnost; NOB</t>
        </is>
      </c>
      <c r="O34" s="38" t="inlineStr">
        <is>
          <t>https://partizanstvo.si/</t>
        </is>
      </c>
      <c r="P34" s="38" t="str"/>
      <c r="Q34" s="38" t="inlineStr">
        <is>
          <t>Ni začeto</t>
        </is>
      </c>
      <c r="R34" s="38" t="inlineStr">
        <is>
          <t>Ni začeto</t>
        </is>
      </c>
      <c r="S34" s="38" t="inlineStr">
        <is>
          <t>Ni začeto</t>
        </is>
      </c>
      <c r="T34" s="38" t="inlineStr">
        <is>
          <t>Ni začeto</t>
        </is>
      </c>
      <c r="U34" s="38" t="inlineStr">
        <is>
          <t>Ni začeto</t>
        </is>
      </c>
      <c r="V34" s="38" t="inlineStr">
        <is>
          <t>Ni začeto</t>
        </is>
      </c>
      <c r="W34" s="38" t="inlineStr">
        <is>
          <t>Ni začeto</t>
        </is>
      </c>
      <c r="X34" s="38" t="inlineStr">
        <is>
          <t>Ni začeto</t>
        </is>
      </c>
      <c r="Y34" s="38">
        <f>IF(A34="","",Nastavitve!$B$2&amp;LOWER(A34))</f>
        <v/>
      </c>
      <c r="Z34" s="38" t="inlineStr">
        <is>
          <t>Ne</t>
        </is>
      </c>
      <c r="AA34" s="38" t="inlineStr">
        <is>
          <t>Ne</t>
        </is>
      </c>
      <c r="AB34" s="38" t="inlineStr">
        <is>
          <t>Za preverjanje</t>
        </is>
      </c>
      <c r="AC34" s="38" t="inlineStr">
        <is>
          <t>Za preverjanje</t>
        </is>
      </c>
      <c r="AD34" s="38" t="inlineStr">
        <is>
          <t>Predlog – preveriti</t>
        </is>
      </c>
      <c r="AE34" s="38" t="str"/>
      <c r="AF34" s="52" t="n"/>
      <c r="AG34" s="53">
        <f>ROUND((COUNTIF(Q34:X34,"Končano")+IF(Z34="Da",1,0)+IF(AA34="Da",1,0)+IF(AC34="Potrjeno",1,0))/11,2)</f>
        <v/>
      </c>
      <c r="AH34" s="38" t="str"/>
    </row>
    <row r="35">
      <c r="A35" s="38" t="inlineStr">
        <is>
          <t>NMZ-031</t>
        </is>
      </c>
      <c r="B35" s="38" t="n">
        <v>6</v>
      </c>
      <c r="C35" s="38" t="inlineStr">
        <is>
          <t>Gotna vas – Šmihel</t>
        </is>
      </c>
      <c r="D35" s="38" t="inlineStr">
        <is>
          <t>Osnovna pot / bližina</t>
        </is>
      </c>
      <c r="E35" s="38" t="inlineStr">
        <is>
          <t>Grobnica NOB na pokopališču Šmihel</t>
        </is>
      </c>
      <c r="F35" s="38" t="inlineStr">
        <is>
          <t>Šmihel</t>
        </is>
      </c>
      <c r="G35" s="38" t="inlineStr">
        <is>
          <t>Grobnica</t>
        </is>
      </c>
      <c r="H35" s="38" t="n">
        <v>45.7898</v>
      </c>
      <c r="I35" s="38" t="n">
        <v>15.1562</v>
      </c>
      <c r="J35" s="38" t="inlineStr">
        <is>
          <t>Izhodiščni približek – terensko uskladiti</t>
        </is>
      </c>
      <c r="K35" s="38" t="str"/>
      <c r="L35" s="38" t="inlineStr">
        <is>
          <t>Za preverjanje</t>
        </is>
      </c>
      <c r="M35" s="38" t="inlineStr">
        <is>
          <t>Osrednja grobnica NOB na pokopališču Šmihel.</t>
        </is>
      </c>
      <c r="N35" s="38" t="inlineStr">
        <is>
          <t>Padli borci; spomin</t>
        </is>
      </c>
      <c r="O35" s="38" t="inlineStr">
        <is>
          <t>https://partizanstvo.si/</t>
        </is>
      </c>
      <c r="P35" s="38" t="str"/>
      <c r="Q35" s="38" t="inlineStr">
        <is>
          <t>Ni začeto</t>
        </is>
      </c>
      <c r="R35" s="38" t="inlineStr">
        <is>
          <t>Ni začeto</t>
        </is>
      </c>
      <c r="S35" s="38" t="inlineStr">
        <is>
          <t>Ni začeto</t>
        </is>
      </c>
      <c r="T35" s="38" t="inlineStr">
        <is>
          <t>Ni začeto</t>
        </is>
      </c>
      <c r="U35" s="38" t="inlineStr">
        <is>
          <t>Ni začeto</t>
        </is>
      </c>
      <c r="V35" s="38" t="inlineStr">
        <is>
          <t>Ni začeto</t>
        </is>
      </c>
      <c r="W35" s="38" t="inlineStr">
        <is>
          <t>Ni začeto</t>
        </is>
      </c>
      <c r="X35" s="38" t="inlineStr">
        <is>
          <t>Ni začeto</t>
        </is>
      </c>
      <c r="Y35" s="38">
        <f>IF(A35="","",Nastavitve!$B$2&amp;LOWER(A35))</f>
        <v/>
      </c>
      <c r="Z35" s="38" t="inlineStr">
        <is>
          <t>Ne</t>
        </is>
      </c>
      <c r="AA35" s="38" t="inlineStr">
        <is>
          <t>Ne</t>
        </is>
      </c>
      <c r="AB35" s="38" t="inlineStr">
        <is>
          <t>Za preverjanje</t>
        </is>
      </c>
      <c r="AC35" s="38" t="inlineStr">
        <is>
          <t>Za preverjanje</t>
        </is>
      </c>
      <c r="AD35" s="38" t="inlineStr">
        <is>
          <t>Predlog – preveriti</t>
        </is>
      </c>
      <c r="AE35" s="38" t="str"/>
      <c r="AF35" s="52" t="n"/>
      <c r="AG35" s="53">
        <f>ROUND((COUNTIF(Q35:X35,"Končano")+IF(Z35="Da",1,0)+IF(AA35="Da",1,0)+IF(AC35="Potrjeno",1,0))/11,2)</f>
        <v/>
      </c>
      <c r="AH35" s="38" t="str"/>
    </row>
    <row r="36">
      <c r="A36" s="38" t="inlineStr">
        <is>
          <t>NMZ-032</t>
        </is>
      </c>
      <c r="B36" s="38" t="n">
        <v>6</v>
      </c>
      <c r="C36" s="38" t="inlineStr">
        <is>
          <t>Gotna vas – Šmihel</t>
        </is>
      </c>
      <c r="D36" s="38" t="inlineStr">
        <is>
          <t>Osnovna pot / bližina</t>
        </is>
      </c>
      <c r="E36" s="38" t="inlineStr">
        <is>
          <t>NOB obeležje pri OŠ Šmihel</t>
        </is>
      </c>
      <c r="F36" s="38" t="inlineStr">
        <is>
          <t>Šmihel</t>
        </is>
      </c>
      <c r="G36" s="38" t="inlineStr">
        <is>
          <t>Spominsko obeležje</t>
        </is>
      </c>
      <c r="H36" s="38" t="n">
        <v>45.7913</v>
      </c>
      <c r="I36" s="38" t="n">
        <v>15.1568</v>
      </c>
      <c r="J36" s="38" t="inlineStr">
        <is>
          <t>Izhodiščni približek – terensko uskladiti</t>
        </is>
      </c>
      <c r="K36" s="38" t="str"/>
      <c r="L36" s="38" t="inlineStr">
        <is>
          <t>Za preverjanje</t>
        </is>
      </c>
      <c r="M36" s="38" t="inlineStr">
        <is>
          <t>Spominska točka ob šoli, primerna za pedagoško uporabo.</t>
        </is>
      </c>
      <c r="N36" s="38" t="inlineStr">
        <is>
          <t>Mladi; lokalna zgodovina</t>
        </is>
      </c>
      <c r="O36" s="38" t="inlineStr">
        <is>
          <t>https://partizanstvo.si/</t>
        </is>
      </c>
      <c r="P36" s="38" t="str"/>
      <c r="Q36" s="38" t="inlineStr">
        <is>
          <t>Ni začeto</t>
        </is>
      </c>
      <c r="R36" s="38" t="inlineStr">
        <is>
          <t>Ni začeto</t>
        </is>
      </c>
      <c r="S36" s="38" t="inlineStr">
        <is>
          <t>Ni začeto</t>
        </is>
      </c>
      <c r="T36" s="38" t="inlineStr">
        <is>
          <t>Ni začeto</t>
        </is>
      </c>
      <c r="U36" s="38" t="inlineStr">
        <is>
          <t>Ni začeto</t>
        </is>
      </c>
      <c r="V36" s="38" t="inlineStr">
        <is>
          <t>Ni začeto</t>
        </is>
      </c>
      <c r="W36" s="38" t="inlineStr">
        <is>
          <t>Ni začeto</t>
        </is>
      </c>
      <c r="X36" s="38" t="inlineStr">
        <is>
          <t>Ni začeto</t>
        </is>
      </c>
      <c r="Y36" s="38">
        <f>IF(A36="","",Nastavitve!$B$2&amp;LOWER(A36))</f>
        <v/>
      </c>
      <c r="Z36" s="38" t="inlineStr">
        <is>
          <t>Ne</t>
        </is>
      </c>
      <c r="AA36" s="38" t="inlineStr">
        <is>
          <t>Ne</t>
        </is>
      </c>
      <c r="AB36" s="38" t="inlineStr">
        <is>
          <t>Za preverjanje</t>
        </is>
      </c>
      <c r="AC36" s="38" t="inlineStr">
        <is>
          <t>Za preverjanje</t>
        </is>
      </c>
      <c r="AD36" s="38" t="inlineStr">
        <is>
          <t>Predlog – preveriti</t>
        </is>
      </c>
      <c r="AE36" s="38" t="str"/>
      <c r="AF36" s="52" t="n"/>
      <c r="AG36" s="53">
        <f>ROUND((COUNTIF(Q36:X36,"Končano")+IF(Z36="Da",1,0)+IF(AA36="Da",1,0)+IF(AC36="Potrjeno",1,0))/11,2)</f>
        <v/>
      </c>
      <c r="AH36" s="38" t="str"/>
    </row>
    <row r="37">
      <c r="A37" s="38" t="inlineStr">
        <is>
          <t>NMZ-033</t>
        </is>
      </c>
      <c r="B37" s="38" t="n">
        <v>6</v>
      </c>
      <c r="C37" s="38" t="inlineStr">
        <is>
          <t>Gotna vas – Šmihel</t>
        </is>
      </c>
      <c r="D37" s="38" t="inlineStr">
        <is>
          <t>Osnovna pot / bližina</t>
        </is>
      </c>
      <c r="E37" s="38" t="inlineStr">
        <is>
          <t>Spominski sklop NOB na pokopališču Šmihel</t>
        </is>
      </c>
      <c r="F37" s="38" t="inlineStr">
        <is>
          <t>Šmihel</t>
        </is>
      </c>
      <c r="G37" s="38" t="inlineStr">
        <is>
          <t>Spominski sklop</t>
        </is>
      </c>
      <c r="H37" s="38" t="n">
        <v>45.7904</v>
      </c>
      <c r="I37" s="38" t="n">
        <v>15.1552</v>
      </c>
      <c r="J37" s="38" t="inlineStr">
        <is>
          <t>Izhodiščni približek – terensko uskladiti</t>
        </is>
      </c>
      <c r="K37" s="38" t="str"/>
      <c r="L37" s="38" t="inlineStr">
        <is>
          <t>Za preverjanje</t>
        </is>
      </c>
      <c r="M37" s="38" t="inlineStr">
        <is>
          <t>Več povezanih grobov in obeležij kot skupna učna točka.</t>
        </is>
      </c>
      <c r="N37" s="38" t="inlineStr">
        <is>
          <t>Padli borci; žrtve; spomin</t>
        </is>
      </c>
      <c r="O37" s="38" t="inlineStr">
        <is>
          <t>https://partizanstvo.si/</t>
        </is>
      </c>
      <c r="P37" s="38" t="str"/>
      <c r="Q37" s="38" t="inlineStr">
        <is>
          <t>Ni začeto</t>
        </is>
      </c>
      <c r="R37" s="38" t="inlineStr">
        <is>
          <t>Ni začeto</t>
        </is>
      </c>
      <c r="S37" s="38" t="inlineStr">
        <is>
          <t>Ni začeto</t>
        </is>
      </c>
      <c r="T37" s="38" t="inlineStr">
        <is>
          <t>Ni začeto</t>
        </is>
      </c>
      <c r="U37" s="38" t="inlineStr">
        <is>
          <t>Ni začeto</t>
        </is>
      </c>
      <c r="V37" s="38" t="inlineStr">
        <is>
          <t>Ni začeto</t>
        </is>
      </c>
      <c r="W37" s="38" t="inlineStr">
        <is>
          <t>Ni začeto</t>
        </is>
      </c>
      <c r="X37" s="38" t="inlineStr">
        <is>
          <t>Ni začeto</t>
        </is>
      </c>
      <c r="Y37" s="38">
        <f>IF(A37="","",Nastavitve!$B$2&amp;LOWER(A37))</f>
        <v/>
      </c>
      <c r="Z37" s="38" t="inlineStr">
        <is>
          <t>Ne</t>
        </is>
      </c>
      <c r="AA37" s="38" t="inlineStr">
        <is>
          <t>Ne</t>
        </is>
      </c>
      <c r="AB37" s="38" t="inlineStr">
        <is>
          <t>Za preverjanje</t>
        </is>
      </c>
      <c r="AC37" s="38" t="inlineStr">
        <is>
          <t>Za preverjanje</t>
        </is>
      </c>
      <c r="AD37" s="38" t="inlineStr">
        <is>
          <t>Predlog – preveriti</t>
        </is>
      </c>
      <c r="AE37" s="38" t="str"/>
      <c r="AF37" s="52" t="n"/>
      <c r="AG37" s="53">
        <f>ROUND((COUNTIF(Q37:X37,"Končano")+IF(Z37="Da",1,0)+IF(AA37="Da",1,0)+IF(AC37="Potrjeno",1,0))/11,2)</f>
        <v/>
      </c>
      <c r="AH37" s="38" t="str"/>
    </row>
    <row r="38">
      <c r="A38" s="38" t="inlineStr">
        <is>
          <t>NMZ-034</t>
        </is>
      </c>
      <c r="B38" s="38" t="n">
        <v>6</v>
      </c>
      <c r="C38" s="38" t="inlineStr">
        <is>
          <t>Gotna vas – Šmihel</t>
        </is>
      </c>
      <c r="D38" s="38" t="inlineStr">
        <is>
          <t>Bližina poti</t>
        </is>
      </c>
      <c r="E38" s="38" t="inlineStr">
        <is>
          <t>Valantičevo obeležje</t>
        </is>
      </c>
      <c r="F38" s="38" t="inlineStr">
        <is>
          <t>Šmihel</t>
        </is>
      </c>
      <c r="G38" s="38" t="inlineStr">
        <is>
          <t>Spominsko obeležje</t>
        </is>
      </c>
      <c r="H38" s="38" t="n">
        <v>45.7907</v>
      </c>
      <c r="I38" s="38" t="n">
        <v>15.156</v>
      </c>
      <c r="J38" s="38" t="inlineStr">
        <is>
          <t>Izhodiščni približek – terensko uskladiti</t>
        </is>
      </c>
      <c r="K38" s="38" t="str"/>
      <c r="L38" s="38" t="inlineStr">
        <is>
          <t>Za preverjanje</t>
        </is>
      </c>
      <c r="M38" s="38" t="inlineStr">
        <is>
          <t>Delovna točka; potrebno je preveriti točen naziv, lokacijo in povezavo z Valantičevo družino.</t>
        </is>
      </c>
      <c r="N38" s="38" t="inlineStr">
        <is>
          <t>Valantičeva družina; lokalni spomin</t>
        </is>
      </c>
      <c r="O38" s="38" t="inlineStr">
        <is>
          <t>https://partizanstvo.si/</t>
        </is>
      </c>
      <c r="P38" s="38" t="str"/>
      <c r="Q38" s="38" t="inlineStr">
        <is>
          <t>Ni začeto</t>
        </is>
      </c>
      <c r="R38" s="38" t="inlineStr">
        <is>
          <t>Ni začeto</t>
        </is>
      </c>
      <c r="S38" s="38" t="inlineStr">
        <is>
          <t>Ni začeto</t>
        </is>
      </c>
      <c r="T38" s="38" t="inlineStr">
        <is>
          <t>Ni začeto</t>
        </is>
      </c>
      <c r="U38" s="38" t="inlineStr">
        <is>
          <t>Ni začeto</t>
        </is>
      </c>
      <c r="V38" s="38" t="inlineStr">
        <is>
          <t>Ni začeto</t>
        </is>
      </c>
      <c r="W38" s="38" t="inlineStr">
        <is>
          <t>Ni začeto</t>
        </is>
      </c>
      <c r="X38" s="38" t="inlineStr">
        <is>
          <t>Ni začeto</t>
        </is>
      </c>
      <c r="Y38" s="38">
        <f>IF(A38="","",Nastavitve!$B$2&amp;LOWER(A38))</f>
        <v/>
      </c>
      <c r="Z38" s="38" t="inlineStr">
        <is>
          <t>Ne</t>
        </is>
      </c>
      <c r="AA38" s="38" t="inlineStr">
        <is>
          <t>Ne</t>
        </is>
      </c>
      <c r="AB38" s="38" t="inlineStr">
        <is>
          <t>Za preverjanje</t>
        </is>
      </c>
      <c r="AC38" s="38" t="inlineStr">
        <is>
          <t>Za preverjanje</t>
        </is>
      </c>
      <c r="AD38" s="38" t="inlineStr">
        <is>
          <t>Predlog – preveriti</t>
        </is>
      </c>
      <c r="AE38" s="38" t="str"/>
      <c r="AF38" s="52" t="n"/>
      <c r="AG38" s="53">
        <f>ROUND((COUNTIF(Q38:X38,"Končano")+IF(Z38="Da",1,0)+IF(AA38="Da",1,0)+IF(AC38="Potrjeno",1,0))/11,2)</f>
        <v/>
      </c>
      <c r="AH38" s="38" t="str"/>
    </row>
    <row r="39">
      <c r="A39" s="38" t="inlineStr">
        <is>
          <t>NMZ-035</t>
        </is>
      </c>
      <c r="B39" s="38" t="n">
        <v>6</v>
      </c>
      <c r="C39" s="38" t="inlineStr">
        <is>
          <t>Gotna vas – Šmihel</t>
        </is>
      </c>
      <c r="D39" s="38" t="inlineStr">
        <is>
          <t>Osnovna pot / bližina</t>
        </is>
      </c>
      <c r="E39" s="38" t="inlineStr">
        <is>
          <t>Spomenik NOB pri sv. Roku</t>
        </is>
      </c>
      <c r="F39" s="38" t="inlineStr">
        <is>
          <t>Gotna vas</t>
        </is>
      </c>
      <c r="G39" s="38" t="inlineStr">
        <is>
          <t>Spomenik</t>
        </is>
      </c>
      <c r="H39" s="38" t="n">
        <v>45.7862</v>
      </c>
      <c r="I39" s="38" t="n">
        <v>15.1491</v>
      </c>
      <c r="J39" s="38" t="inlineStr">
        <is>
          <t>Izhodiščni približek – terensko uskladiti</t>
        </is>
      </c>
      <c r="K39" s="38" t="inlineStr">
        <is>
          <t>4219</t>
        </is>
      </c>
      <c r="L39" s="38" t="inlineStr">
        <is>
          <t>Vpisano</t>
        </is>
      </c>
      <c r="M39" s="38" t="inlineStr">
        <is>
          <t>Spomenik NOB pri sv. Roku.</t>
        </is>
      </c>
      <c r="N39" s="38" t="inlineStr">
        <is>
          <t>Lokalni odpor; spomin</t>
        </is>
      </c>
      <c r="O39" s="38" t="inlineStr">
        <is>
          <t>https://www.novomesto.si/dolenjski-uradni-list/dul-objave/2017110308141094/odlok_o_razglasitvi__nepremicnih_kulturnih_spomenikov_lokalnega_pomena_na_obmocju_mestne_obcine_novo_mesto/</t>
        </is>
      </c>
      <c r="P39" s="38" t="inlineStr">
        <is>
          <t>https://partizanstvo.si/</t>
        </is>
      </c>
      <c r="Q39" s="38" t="inlineStr">
        <is>
          <t>Ni začeto</t>
        </is>
      </c>
      <c r="R39" s="38" t="inlineStr">
        <is>
          <t>Ni začeto</t>
        </is>
      </c>
      <c r="S39" s="38" t="inlineStr">
        <is>
          <t>Ni začeto</t>
        </is>
      </c>
      <c r="T39" s="38" t="inlineStr">
        <is>
          <t>Ni začeto</t>
        </is>
      </c>
      <c r="U39" s="38" t="inlineStr">
        <is>
          <t>Ni začeto</t>
        </is>
      </c>
      <c r="V39" s="38" t="inlineStr">
        <is>
          <t>Ni začeto</t>
        </is>
      </c>
      <c r="W39" s="38" t="inlineStr">
        <is>
          <t>Ni začeto</t>
        </is>
      </c>
      <c r="X39" s="38" t="inlineStr">
        <is>
          <t>Ni začeto</t>
        </is>
      </c>
      <c r="Y39" s="38">
        <f>IF(A39="","",Nastavitve!$B$2&amp;LOWER(A39))</f>
        <v/>
      </c>
      <c r="Z39" s="38" t="inlineStr">
        <is>
          <t>Ne</t>
        </is>
      </c>
      <c r="AA39" s="38" t="inlineStr">
        <is>
          <t>Ne</t>
        </is>
      </c>
      <c r="AB39" s="38" t="inlineStr">
        <is>
          <t>Za preverjanje</t>
        </is>
      </c>
      <c r="AC39" s="38" t="inlineStr">
        <is>
          <t>Za preverjanje</t>
        </is>
      </c>
      <c r="AD39" s="38" t="inlineStr">
        <is>
          <t>Predlog – preveriti</t>
        </is>
      </c>
      <c r="AE39" s="38" t="str"/>
      <c r="AF39" s="52" t="n"/>
      <c r="AG39" s="53">
        <f>ROUND((COUNTIF(Q39:X39,"Končano")+IF(Z39="Da",1,0)+IF(AA39="Da",1,0)+IF(AC39="Potrjeno",1,0))/11,2)</f>
        <v/>
      </c>
      <c r="AH39" s="38" t="str"/>
    </row>
    <row r="40">
      <c r="A40" s="38" t="inlineStr">
        <is>
          <t>NMZ-036</t>
        </is>
      </c>
      <c r="B40" s="38" t="n">
        <v>2</v>
      </c>
      <c r="C40" s="38" t="inlineStr">
        <is>
          <t>Bršljin – Bučna vas</t>
        </is>
      </c>
      <c r="D40" s="38" t="inlineStr">
        <is>
          <t>Razširjeni zahodni krak</t>
        </is>
      </c>
      <c r="E40" s="38" t="inlineStr">
        <is>
          <t>Spomenik aktivistu Antonu Čampi</t>
        </is>
      </c>
      <c r="F40" s="38" t="inlineStr">
        <is>
          <t>Prečna</t>
        </is>
      </c>
      <c r="G40" s="38" t="inlineStr">
        <is>
          <t>Spomenik</t>
        </is>
      </c>
      <c r="H40" s="38" t="n">
        <v>45.8438</v>
      </c>
      <c r="I40" s="38" t="n">
        <v>15.1016</v>
      </c>
      <c r="J40" s="38" t="inlineStr">
        <is>
          <t>Izhodiščni približek – terensko uskladiti</t>
        </is>
      </c>
      <c r="K40" s="38" t="str"/>
      <c r="L40" s="38" t="inlineStr">
        <is>
          <t>Za preverjanje</t>
        </is>
      </c>
      <c r="M40" s="38" t="inlineStr">
        <is>
          <t>Spomenik aktivistu Antonu Čampi.</t>
        </is>
      </c>
      <c r="N40" s="38" t="inlineStr">
        <is>
          <t>Anton Čampa; aktivizem / odpor</t>
        </is>
      </c>
      <c r="O40" s="38" t="inlineStr">
        <is>
          <t>https://partizanstvo.si/sl/podrobno/partizanskispomenik/4642/</t>
        </is>
      </c>
      <c r="P40" s="38" t="str"/>
      <c r="Q40" s="38" t="inlineStr">
        <is>
          <t>Ni začeto</t>
        </is>
      </c>
      <c r="R40" s="38" t="inlineStr">
        <is>
          <t>Ni začeto</t>
        </is>
      </c>
      <c r="S40" s="38" t="inlineStr">
        <is>
          <t>Ni začeto</t>
        </is>
      </c>
      <c r="T40" s="38" t="inlineStr">
        <is>
          <t>Ni začeto</t>
        </is>
      </c>
      <c r="U40" s="38" t="inlineStr">
        <is>
          <t>Ni začeto</t>
        </is>
      </c>
      <c r="V40" s="38" t="inlineStr">
        <is>
          <t>Ni začeto</t>
        </is>
      </c>
      <c r="W40" s="38" t="inlineStr">
        <is>
          <t>Ni začeto</t>
        </is>
      </c>
      <c r="X40" s="38" t="inlineStr">
        <is>
          <t>Ni začeto</t>
        </is>
      </c>
      <c r="Y40" s="38">
        <f>IF(A40="","",Nastavitve!$B$2&amp;LOWER(A40))</f>
        <v/>
      </c>
      <c r="Z40" s="38" t="inlineStr">
        <is>
          <t>Ne</t>
        </is>
      </c>
      <c r="AA40" s="38" t="inlineStr">
        <is>
          <t>Ne</t>
        </is>
      </c>
      <c r="AB40" s="38" t="inlineStr">
        <is>
          <t>Za preverjanje</t>
        </is>
      </c>
      <c r="AC40" s="38" t="inlineStr">
        <is>
          <t>Za preverjanje</t>
        </is>
      </c>
      <c r="AD40" s="38" t="inlineStr">
        <is>
          <t>Predlog – preveriti</t>
        </is>
      </c>
      <c r="AE40" s="38" t="str"/>
      <c r="AF40" s="52" t="n"/>
      <c r="AG40" s="53">
        <f>ROUND((COUNTIF(Q40:X40,"Končano")+IF(Z40="Da",1,0)+IF(AA40="Da",1,0)+IF(AC40="Potrjeno",1,0))/11,2)</f>
        <v/>
      </c>
      <c r="AH40" s="38" t="str"/>
    </row>
    <row r="41">
      <c r="A41" s="38" t="inlineStr">
        <is>
          <t>NMZ-037</t>
        </is>
      </c>
      <c r="B41" s="38" t="n">
        <v>2</v>
      </c>
      <c r="C41" s="38" t="inlineStr">
        <is>
          <t>Bršljin – Bučna vas</t>
        </is>
      </c>
      <c r="D41" s="38" t="inlineStr">
        <is>
          <t>Razširjeni zahodni krak</t>
        </is>
      </c>
      <c r="E41" s="38" t="inlineStr">
        <is>
          <t>Grob s spomenikom štirim talcem</t>
        </is>
      </c>
      <c r="F41" s="38" t="inlineStr">
        <is>
          <t>Prečna</t>
        </is>
      </c>
      <c r="G41" s="38" t="inlineStr">
        <is>
          <t>Grob / spomenik</t>
        </is>
      </c>
      <c r="H41" s="38" t="n">
        <v>45.8444</v>
      </c>
      <c r="I41" s="38" t="n">
        <v>15.1028</v>
      </c>
      <c r="J41" s="38" t="inlineStr">
        <is>
          <t>Izhodiščni približek – terensko uskladiti</t>
        </is>
      </c>
      <c r="K41" s="38" t="str"/>
      <c r="L41" s="38" t="inlineStr">
        <is>
          <t>Za preverjanje</t>
        </is>
      </c>
      <c r="M41" s="38" t="inlineStr">
        <is>
          <t>Grob in spomenik štirim talcem.</t>
        </is>
      </c>
      <c r="N41" s="38" t="inlineStr">
        <is>
          <t>Talci; okupacijsko nasilje</t>
        </is>
      </c>
      <c r="O41" s="38" t="inlineStr">
        <is>
          <t>https://partizanstvo.si/</t>
        </is>
      </c>
      <c r="P41" s="38" t="str"/>
      <c r="Q41" s="38" t="inlineStr">
        <is>
          <t>Ni začeto</t>
        </is>
      </c>
      <c r="R41" s="38" t="inlineStr">
        <is>
          <t>Ni začeto</t>
        </is>
      </c>
      <c r="S41" s="38" t="inlineStr">
        <is>
          <t>Ni začeto</t>
        </is>
      </c>
      <c r="T41" s="38" t="inlineStr">
        <is>
          <t>Ni začeto</t>
        </is>
      </c>
      <c r="U41" s="38" t="inlineStr">
        <is>
          <t>Ni začeto</t>
        </is>
      </c>
      <c r="V41" s="38" t="inlineStr">
        <is>
          <t>Ni začeto</t>
        </is>
      </c>
      <c r="W41" s="38" t="inlineStr">
        <is>
          <t>Ni začeto</t>
        </is>
      </c>
      <c r="X41" s="38" t="inlineStr">
        <is>
          <t>Ni začeto</t>
        </is>
      </c>
      <c r="Y41" s="38">
        <f>IF(A41="","",Nastavitve!$B$2&amp;LOWER(A41))</f>
        <v/>
      </c>
      <c r="Z41" s="38" t="inlineStr">
        <is>
          <t>Ne</t>
        </is>
      </c>
      <c r="AA41" s="38" t="inlineStr">
        <is>
          <t>Ne</t>
        </is>
      </c>
      <c r="AB41" s="38" t="inlineStr">
        <is>
          <t>Za preverjanje</t>
        </is>
      </c>
      <c r="AC41" s="38" t="inlineStr">
        <is>
          <t>Za preverjanje</t>
        </is>
      </c>
      <c r="AD41" s="38" t="inlineStr">
        <is>
          <t>Predlog – preveriti</t>
        </is>
      </c>
      <c r="AE41" s="38" t="str"/>
      <c r="AF41" s="52" t="n"/>
      <c r="AG41" s="53">
        <f>ROUND((COUNTIF(Q41:X41,"Končano")+IF(Z41="Da",1,0)+IF(AA41="Da",1,0)+IF(AC41="Potrjeno",1,0))/11,2)</f>
        <v/>
      </c>
      <c r="AH41" s="38" t="str"/>
    </row>
    <row r="42">
      <c r="A42" s="38" t="inlineStr">
        <is>
          <t>NMZ-038</t>
        </is>
      </c>
      <c r="B42" s="38" t="n">
        <v>2</v>
      </c>
      <c r="C42" s="38" t="inlineStr">
        <is>
          <t>Bršljin – Bučna vas</t>
        </is>
      </c>
      <c r="D42" s="38" t="inlineStr">
        <is>
          <t>Razširjeni zahodni krak</t>
        </is>
      </c>
      <c r="E42" s="38" t="inlineStr">
        <is>
          <t>Grobnica s spomenikom padlim</t>
        </is>
      </c>
      <c r="F42" s="38" t="inlineStr">
        <is>
          <t>Prečna</t>
        </is>
      </c>
      <c r="G42" s="38" t="inlineStr">
        <is>
          <t>Grobnica / spomenik</t>
        </is>
      </c>
      <c r="H42" s="38" t="n">
        <v>45.8429</v>
      </c>
      <c r="I42" s="38" t="n">
        <v>15.1037</v>
      </c>
      <c r="J42" s="38" t="inlineStr">
        <is>
          <t>Izhodiščni približek – terensko uskladiti</t>
        </is>
      </c>
      <c r="K42" s="38" t="str"/>
      <c r="L42" s="38" t="inlineStr">
        <is>
          <t>Za preverjanje</t>
        </is>
      </c>
      <c r="M42" s="38" t="inlineStr">
        <is>
          <t>Grobnica s spomenikom padlim.</t>
        </is>
      </c>
      <c r="N42" s="38" t="inlineStr">
        <is>
          <t>Padli borci / žrtve</t>
        </is>
      </c>
      <c r="O42" s="38" t="inlineStr">
        <is>
          <t>https://partizanstvo.si/</t>
        </is>
      </c>
      <c r="P42" s="38" t="str"/>
      <c r="Q42" s="38" t="inlineStr">
        <is>
          <t>Ni začeto</t>
        </is>
      </c>
      <c r="R42" s="38" t="inlineStr">
        <is>
          <t>Ni začeto</t>
        </is>
      </c>
      <c r="S42" s="38" t="inlineStr">
        <is>
          <t>Ni začeto</t>
        </is>
      </c>
      <c r="T42" s="38" t="inlineStr">
        <is>
          <t>Ni začeto</t>
        </is>
      </c>
      <c r="U42" s="38" t="inlineStr">
        <is>
          <t>Ni začeto</t>
        </is>
      </c>
      <c r="V42" s="38" t="inlineStr">
        <is>
          <t>Ni začeto</t>
        </is>
      </c>
      <c r="W42" s="38" t="inlineStr">
        <is>
          <t>Ni začeto</t>
        </is>
      </c>
      <c r="X42" s="38" t="inlineStr">
        <is>
          <t>Ni začeto</t>
        </is>
      </c>
      <c r="Y42" s="38">
        <f>IF(A42="","",Nastavitve!$B$2&amp;LOWER(A42))</f>
        <v/>
      </c>
      <c r="Z42" s="38" t="inlineStr">
        <is>
          <t>Ne</t>
        </is>
      </c>
      <c r="AA42" s="38" t="inlineStr">
        <is>
          <t>Ne</t>
        </is>
      </c>
      <c r="AB42" s="38" t="inlineStr">
        <is>
          <t>Za preverjanje</t>
        </is>
      </c>
      <c r="AC42" s="38" t="inlineStr">
        <is>
          <t>Za preverjanje</t>
        </is>
      </c>
      <c r="AD42" s="38" t="inlineStr">
        <is>
          <t>Predlog – preveriti</t>
        </is>
      </c>
      <c r="AE42" s="38" t="str"/>
      <c r="AF42" s="52" t="n"/>
      <c r="AG42" s="53">
        <f>ROUND((COUNTIF(Q42:X42,"Končano")+IF(Z42="Da",1,0)+IF(AA42="Da",1,0)+IF(AC42="Potrjeno",1,0))/11,2)</f>
        <v/>
      </c>
      <c r="AH42" s="38" t="str"/>
    </row>
    <row r="43">
      <c r="A43" s="38" t="inlineStr">
        <is>
          <t>NMZ-039</t>
        </is>
      </c>
      <c r="B43" s="38" t="n">
        <v>2</v>
      </c>
      <c r="C43" s="38" t="inlineStr">
        <is>
          <t>Bršljin – Bučna vas</t>
        </is>
      </c>
      <c r="D43" s="38" t="inlineStr">
        <is>
          <t>Razširjeni zahodni krak</t>
        </is>
      </c>
      <c r="E43" s="38" t="inlineStr">
        <is>
          <t>Grob borcev Dolenjskega odreda</t>
        </is>
      </c>
      <c r="F43" s="38" t="inlineStr">
        <is>
          <t>Prečna</t>
        </is>
      </c>
      <c r="G43" s="38" t="inlineStr">
        <is>
          <t>Grob</t>
        </is>
      </c>
      <c r="H43" s="38" t="n">
        <v>45.8432</v>
      </c>
      <c r="I43" s="38" t="n">
        <v>15.1005</v>
      </c>
      <c r="J43" s="38" t="inlineStr">
        <is>
          <t>Izhodiščni približek – terensko uskladiti</t>
        </is>
      </c>
      <c r="K43" s="38" t="str"/>
      <c r="L43" s="38" t="inlineStr">
        <is>
          <t>Za preverjanje</t>
        </is>
      </c>
      <c r="M43" s="38" t="inlineStr">
        <is>
          <t>Grob borcev Dolenjskega odreda.</t>
        </is>
      </c>
      <c r="N43" s="38" t="inlineStr">
        <is>
          <t>Dolenjski odred; padli borci</t>
        </is>
      </c>
      <c r="O43" s="38" t="inlineStr">
        <is>
          <t>https://partizanstvo.si/</t>
        </is>
      </c>
      <c r="P43" s="38" t="str"/>
      <c r="Q43" s="38" t="inlineStr">
        <is>
          <t>Ni začeto</t>
        </is>
      </c>
      <c r="R43" s="38" t="inlineStr">
        <is>
          <t>Ni začeto</t>
        </is>
      </c>
      <c r="S43" s="38" t="inlineStr">
        <is>
          <t>Ni začeto</t>
        </is>
      </c>
      <c r="T43" s="38" t="inlineStr">
        <is>
          <t>Ni začeto</t>
        </is>
      </c>
      <c r="U43" s="38" t="inlineStr">
        <is>
          <t>Ni začeto</t>
        </is>
      </c>
      <c r="V43" s="38" t="inlineStr">
        <is>
          <t>Ni začeto</t>
        </is>
      </c>
      <c r="W43" s="38" t="inlineStr">
        <is>
          <t>Ni začeto</t>
        </is>
      </c>
      <c r="X43" s="38" t="inlineStr">
        <is>
          <t>Ni začeto</t>
        </is>
      </c>
      <c r="Y43" s="38">
        <f>IF(A43="","",Nastavitve!$B$2&amp;LOWER(A43))</f>
        <v/>
      </c>
      <c r="Z43" s="38" t="inlineStr">
        <is>
          <t>Ne</t>
        </is>
      </c>
      <c r="AA43" s="38" t="inlineStr">
        <is>
          <t>Ne</t>
        </is>
      </c>
      <c r="AB43" s="38" t="inlineStr">
        <is>
          <t>Za preverjanje</t>
        </is>
      </c>
      <c r="AC43" s="38" t="inlineStr">
        <is>
          <t>Za preverjanje</t>
        </is>
      </c>
      <c r="AD43" s="38" t="inlineStr">
        <is>
          <t>Predlog – preveriti</t>
        </is>
      </c>
      <c r="AE43" s="38" t="str"/>
      <c r="AF43" s="52" t="n"/>
      <c r="AG43" s="53">
        <f>ROUND((COUNTIF(Q43:X43,"Končano")+IF(Z43="Da",1,0)+IF(AA43="Da",1,0)+IF(AC43="Potrjeno",1,0))/11,2)</f>
        <v/>
      </c>
      <c r="AH43" s="38" t="str"/>
    </row>
    <row r="44">
      <c r="A44" s="38" t="inlineStr">
        <is>
          <t>NMZ-040</t>
        </is>
      </c>
      <c r="B44" s="38" t="n">
        <v>2</v>
      </c>
      <c r="C44" s="38" t="inlineStr">
        <is>
          <t>Bršljin – Bučna vas</t>
        </is>
      </c>
      <c r="D44" s="38" t="inlineStr">
        <is>
          <t>Razširjeni zahodni krak</t>
        </is>
      </c>
      <c r="E44" s="38" t="inlineStr">
        <is>
          <t>Spominska plošča Alojzu Colji</t>
        </is>
      </c>
      <c r="F44" s="38" t="inlineStr">
        <is>
          <t>Prečna</t>
        </is>
      </c>
      <c r="G44" s="38" t="inlineStr">
        <is>
          <t>Spominska plošča</t>
        </is>
      </c>
      <c r="H44" s="38" t="n">
        <v>45.8424</v>
      </c>
      <c r="I44" s="38" t="n">
        <v>15.1019</v>
      </c>
      <c r="J44" s="38" t="inlineStr">
        <is>
          <t>Izhodiščni približek – terensko uskladiti</t>
        </is>
      </c>
      <c r="K44" s="38" t="str"/>
      <c r="L44" s="38" t="inlineStr">
        <is>
          <t>Za preverjanje</t>
        </is>
      </c>
      <c r="M44" s="38" t="inlineStr">
        <is>
          <t>Spominska plošča Alojzu Colji.</t>
        </is>
      </c>
      <c r="N44" s="38" t="inlineStr">
        <is>
          <t>Alojz Colja; lokalni odpor</t>
        </is>
      </c>
      <c r="O44" s="38" t="inlineStr">
        <is>
          <t>https://partizanstvo.si/</t>
        </is>
      </c>
      <c r="P44" s="38" t="str"/>
      <c r="Q44" s="38" t="inlineStr">
        <is>
          <t>Ni začeto</t>
        </is>
      </c>
      <c r="R44" s="38" t="inlineStr">
        <is>
          <t>Ni začeto</t>
        </is>
      </c>
      <c r="S44" s="38" t="inlineStr">
        <is>
          <t>Ni začeto</t>
        </is>
      </c>
      <c r="T44" s="38" t="inlineStr">
        <is>
          <t>Ni začeto</t>
        </is>
      </c>
      <c r="U44" s="38" t="inlineStr">
        <is>
          <t>Ni začeto</t>
        </is>
      </c>
      <c r="V44" s="38" t="inlineStr">
        <is>
          <t>Ni začeto</t>
        </is>
      </c>
      <c r="W44" s="38" t="inlineStr">
        <is>
          <t>Ni začeto</t>
        </is>
      </c>
      <c r="X44" s="38" t="inlineStr">
        <is>
          <t>Ni začeto</t>
        </is>
      </c>
      <c r="Y44" s="38">
        <f>IF(A44="","",Nastavitve!$B$2&amp;LOWER(A44))</f>
        <v/>
      </c>
      <c r="Z44" s="38" t="inlineStr">
        <is>
          <t>Ne</t>
        </is>
      </c>
      <c r="AA44" s="38" t="inlineStr">
        <is>
          <t>Ne</t>
        </is>
      </c>
      <c r="AB44" s="38" t="inlineStr">
        <is>
          <t>Za preverjanje</t>
        </is>
      </c>
      <c r="AC44" s="38" t="inlineStr">
        <is>
          <t>Za preverjanje</t>
        </is>
      </c>
      <c r="AD44" s="38" t="inlineStr">
        <is>
          <t>Predlog – preveriti</t>
        </is>
      </c>
      <c r="AE44" s="38" t="str"/>
      <c r="AF44" s="52" t="n"/>
      <c r="AG44" s="53">
        <f>ROUND((COUNTIF(Q44:X44,"Končano")+IF(Z44="Da",1,0)+IF(AA44="Da",1,0)+IF(AC44="Potrjeno",1,0))/11,2)</f>
        <v/>
      </c>
      <c r="AH44" s="38" t="str"/>
    </row>
    <row r="45">
      <c r="A45" s="38" t="inlineStr">
        <is>
          <t>NMZ-041</t>
        </is>
      </c>
      <c r="B45" s="38" t="n">
        <v>2</v>
      </c>
      <c r="C45" s="38" t="inlineStr">
        <is>
          <t>Bršljin – Bučna vas</t>
        </is>
      </c>
      <c r="D45" s="38" t="inlineStr">
        <is>
          <t>Razširjeni zahodni krak</t>
        </is>
      </c>
      <c r="E45" s="38" t="inlineStr">
        <is>
          <t>Spominski park padlim borcem</t>
        </is>
      </c>
      <c r="F45" s="38" t="inlineStr">
        <is>
          <t>Češča vas</t>
        </is>
      </c>
      <c r="G45" s="38" t="inlineStr">
        <is>
          <t>Spominski park</t>
        </is>
      </c>
      <c r="H45" s="38" t="n">
        <v>45.8149</v>
      </c>
      <c r="I45" s="38" t="n">
        <v>15.1217</v>
      </c>
      <c r="J45" s="38" t="inlineStr">
        <is>
          <t>Izhodiščni približek – terensko uskladiti</t>
        </is>
      </c>
      <c r="K45" s="38" t="str"/>
      <c r="L45" s="38" t="inlineStr">
        <is>
          <t>Za preverjanje</t>
        </is>
      </c>
      <c r="M45" s="38" t="inlineStr">
        <is>
          <t>Spominski park padlim borcem.</t>
        </is>
      </c>
      <c r="N45" s="38" t="inlineStr">
        <is>
          <t>Padli borci; javni spominski prostor</t>
        </is>
      </c>
      <c r="O45" s="38" t="inlineStr">
        <is>
          <t>https://partizanstvo.si/</t>
        </is>
      </c>
      <c r="P45" s="38" t="str"/>
      <c r="Q45" s="38" t="inlineStr">
        <is>
          <t>Ni začeto</t>
        </is>
      </c>
      <c r="R45" s="38" t="inlineStr">
        <is>
          <t>Ni začeto</t>
        </is>
      </c>
      <c r="S45" s="38" t="inlineStr">
        <is>
          <t>Ni začeto</t>
        </is>
      </c>
      <c r="T45" s="38" t="inlineStr">
        <is>
          <t>Ni začeto</t>
        </is>
      </c>
      <c r="U45" s="38" t="inlineStr">
        <is>
          <t>Ni začeto</t>
        </is>
      </c>
      <c r="V45" s="38" t="inlineStr">
        <is>
          <t>Ni začeto</t>
        </is>
      </c>
      <c r="W45" s="38" t="inlineStr">
        <is>
          <t>Ni začeto</t>
        </is>
      </c>
      <c r="X45" s="38" t="inlineStr">
        <is>
          <t>Ni začeto</t>
        </is>
      </c>
      <c r="Y45" s="38">
        <f>IF(A45="","",Nastavitve!$B$2&amp;LOWER(A45))</f>
        <v/>
      </c>
      <c r="Z45" s="38" t="inlineStr">
        <is>
          <t>Ne</t>
        </is>
      </c>
      <c r="AA45" s="38" t="inlineStr">
        <is>
          <t>Ne</t>
        </is>
      </c>
      <c r="AB45" s="38" t="inlineStr">
        <is>
          <t>Za preverjanje</t>
        </is>
      </c>
      <c r="AC45" s="38" t="inlineStr">
        <is>
          <t>Za preverjanje</t>
        </is>
      </c>
      <c r="AD45" s="38" t="inlineStr">
        <is>
          <t>Predlog – preveriti</t>
        </is>
      </c>
      <c r="AE45" s="38" t="str"/>
      <c r="AF45" s="52" t="n"/>
      <c r="AG45" s="53">
        <f>ROUND((COUNTIF(Q45:X45,"Končano")+IF(Z45="Da",1,0)+IF(AA45="Da",1,0)+IF(AC45="Potrjeno",1,0))/11,2)</f>
        <v/>
      </c>
      <c r="AH45" s="38" t="str"/>
    </row>
    <row r="46">
      <c r="A46" s="38" t="inlineStr">
        <is>
          <t>NMZ-042</t>
        </is>
      </c>
      <c r="B46" s="38" t="n">
        <v>3</v>
      </c>
      <c r="C46" s="38" t="inlineStr">
        <is>
          <t>Bučna vas – Ragovo</t>
        </is>
      </c>
      <c r="D46" s="38" t="inlineStr">
        <is>
          <t>Razširjeni severni krak</t>
        </is>
      </c>
      <c r="E46" s="38" t="inlineStr">
        <is>
          <t>Grobišče petih borcev NOV</t>
        </is>
      </c>
      <c r="F46" s="38" t="inlineStr">
        <is>
          <t>Dolenje Kamence</t>
        </is>
      </c>
      <c r="G46" s="38" t="inlineStr">
        <is>
          <t>Grobišče</t>
        </is>
      </c>
      <c r="H46" s="38" t="n">
        <v>45.7938</v>
      </c>
      <c r="I46" s="38" t="n">
        <v>15.1395</v>
      </c>
      <c r="J46" s="38" t="inlineStr">
        <is>
          <t>Izhodiščni približek – terensko uskladiti</t>
        </is>
      </c>
      <c r="K46" s="38" t="str"/>
      <c r="L46" s="38" t="inlineStr">
        <is>
          <t>Za preverjanje</t>
        </is>
      </c>
      <c r="M46" s="38" t="inlineStr">
        <is>
          <t>Grobišče petih borcev NOV.</t>
        </is>
      </c>
      <c r="N46" s="38" t="inlineStr">
        <is>
          <t>Padli borci NOV</t>
        </is>
      </c>
      <c r="O46" s="38" t="inlineStr">
        <is>
          <t>https://partizanstvo.si/</t>
        </is>
      </c>
      <c r="P46" s="38" t="str"/>
      <c r="Q46" s="38" t="inlineStr">
        <is>
          <t>Ni začeto</t>
        </is>
      </c>
      <c r="R46" s="38" t="inlineStr">
        <is>
          <t>Ni začeto</t>
        </is>
      </c>
      <c r="S46" s="38" t="inlineStr">
        <is>
          <t>Ni začeto</t>
        </is>
      </c>
      <c r="T46" s="38" t="inlineStr">
        <is>
          <t>Ni začeto</t>
        </is>
      </c>
      <c r="U46" s="38" t="inlineStr">
        <is>
          <t>Ni začeto</t>
        </is>
      </c>
      <c r="V46" s="38" t="inlineStr">
        <is>
          <t>Ni začeto</t>
        </is>
      </c>
      <c r="W46" s="38" t="inlineStr">
        <is>
          <t>Ni začeto</t>
        </is>
      </c>
      <c r="X46" s="38" t="inlineStr">
        <is>
          <t>Ni začeto</t>
        </is>
      </c>
      <c r="Y46" s="38">
        <f>IF(A46="","",Nastavitve!$B$2&amp;LOWER(A46))</f>
        <v/>
      </c>
      <c r="Z46" s="38" t="inlineStr">
        <is>
          <t>Ne</t>
        </is>
      </c>
      <c r="AA46" s="38" t="inlineStr">
        <is>
          <t>Ne</t>
        </is>
      </c>
      <c r="AB46" s="38" t="inlineStr">
        <is>
          <t>Za preverjanje</t>
        </is>
      </c>
      <c r="AC46" s="38" t="inlineStr">
        <is>
          <t>Za preverjanje</t>
        </is>
      </c>
      <c r="AD46" s="38" t="inlineStr">
        <is>
          <t>Predlog – preveriti</t>
        </is>
      </c>
      <c r="AE46" s="38" t="str"/>
      <c r="AF46" s="52" t="n"/>
      <c r="AG46" s="53">
        <f>ROUND((COUNTIF(Q46:X46,"Končano")+IF(Z46="Da",1,0)+IF(AA46="Da",1,0)+IF(AC46="Potrjeno",1,0))/11,2)</f>
        <v/>
      </c>
      <c r="AH46" s="38" t="str"/>
    </row>
    <row r="47">
      <c r="A47" s="38" t="inlineStr">
        <is>
          <t>NMZ-043</t>
        </is>
      </c>
      <c r="B47" s="38" t="n">
        <v>3</v>
      </c>
      <c r="C47" s="38" t="inlineStr">
        <is>
          <t>Bučna vas – Ragovo</t>
        </is>
      </c>
      <c r="D47" s="38" t="inlineStr">
        <is>
          <t>Razširjeni severni krak</t>
        </is>
      </c>
      <c r="E47" s="38" t="inlineStr">
        <is>
          <t>Spominsko obeležje Kuzarjev Kal</t>
        </is>
      </c>
      <c r="F47" s="38" t="inlineStr">
        <is>
          <t>Kuzarjev Kal</t>
        </is>
      </c>
      <c r="G47" s="38" t="inlineStr">
        <is>
          <t>Spominsko obeležje</t>
        </is>
      </c>
      <c r="H47" s="38" t="n">
        <v>45.7897</v>
      </c>
      <c r="I47" s="38" t="n">
        <v>15.1261</v>
      </c>
      <c r="J47" s="38" t="inlineStr">
        <is>
          <t>Izhodiščni približek – terensko uskladiti</t>
        </is>
      </c>
      <c r="K47" s="38" t="str"/>
      <c r="L47" s="38" t="inlineStr">
        <is>
          <t>Za preverjanje</t>
        </is>
      </c>
      <c r="M47" s="38" t="inlineStr">
        <is>
          <t>Spominsko obeležje na območju Kuzarjevega Kala.</t>
        </is>
      </c>
      <c r="N47" s="38" t="inlineStr">
        <is>
          <t>Lokalni dogodki NOB</t>
        </is>
      </c>
      <c r="O47" s="38" t="inlineStr">
        <is>
          <t>https://partizanstvo.si/</t>
        </is>
      </c>
      <c r="P47" s="38" t="str"/>
      <c r="Q47" s="38" t="inlineStr">
        <is>
          <t>Ni začeto</t>
        </is>
      </c>
      <c r="R47" s="38" t="inlineStr">
        <is>
          <t>Ni začeto</t>
        </is>
      </c>
      <c r="S47" s="38" t="inlineStr">
        <is>
          <t>Ni začeto</t>
        </is>
      </c>
      <c r="T47" s="38" t="inlineStr">
        <is>
          <t>Ni začeto</t>
        </is>
      </c>
      <c r="U47" s="38" t="inlineStr">
        <is>
          <t>Ni začeto</t>
        </is>
      </c>
      <c r="V47" s="38" t="inlineStr">
        <is>
          <t>Ni začeto</t>
        </is>
      </c>
      <c r="W47" s="38" t="inlineStr">
        <is>
          <t>Ni začeto</t>
        </is>
      </c>
      <c r="X47" s="38" t="inlineStr">
        <is>
          <t>Ni začeto</t>
        </is>
      </c>
      <c r="Y47" s="38">
        <f>IF(A47="","",Nastavitve!$B$2&amp;LOWER(A47))</f>
        <v/>
      </c>
      <c r="Z47" s="38" t="inlineStr">
        <is>
          <t>Ne</t>
        </is>
      </c>
      <c r="AA47" s="38" t="inlineStr">
        <is>
          <t>Ne</t>
        </is>
      </c>
      <c r="AB47" s="38" t="inlineStr">
        <is>
          <t>Za preverjanje</t>
        </is>
      </c>
      <c r="AC47" s="38" t="inlineStr">
        <is>
          <t>Za preverjanje</t>
        </is>
      </c>
      <c r="AD47" s="38" t="inlineStr">
        <is>
          <t>Predlog – preveriti</t>
        </is>
      </c>
      <c r="AE47" s="38" t="str"/>
      <c r="AF47" s="52" t="n"/>
      <c r="AG47" s="53">
        <f>ROUND((COUNTIF(Q47:X47,"Končano")+IF(Z47="Da",1,0)+IF(AA47="Da",1,0)+IF(AC47="Potrjeno",1,0))/11,2)</f>
        <v/>
      </c>
      <c r="AH47" s="38" t="str"/>
    </row>
    <row r="48">
      <c r="A48" s="38" t="inlineStr">
        <is>
          <t>NMZ-044</t>
        </is>
      </c>
      <c r="B48" s="38" t="n">
        <v>3</v>
      </c>
      <c r="C48" s="38" t="inlineStr">
        <is>
          <t>Bučna vas – Ragovo</t>
        </is>
      </c>
      <c r="D48" s="38" t="inlineStr">
        <is>
          <t>Razširjeni severni krak</t>
        </is>
      </c>
      <c r="E48" s="38" t="inlineStr">
        <is>
          <t>Grob Danila Podobnika in Slavka Petriča</t>
        </is>
      </c>
      <c r="F48" s="38" t="inlineStr">
        <is>
          <t>Kuzarjev Kal</t>
        </is>
      </c>
      <c r="G48" s="38" t="inlineStr">
        <is>
          <t>Grob</t>
        </is>
      </c>
      <c r="H48" s="38" t="n">
        <v>45.7888</v>
      </c>
      <c r="I48" s="38" t="n">
        <v>15.1272</v>
      </c>
      <c r="J48" s="38" t="inlineStr">
        <is>
          <t>Izhodiščni približek – terensko uskladiti</t>
        </is>
      </c>
      <c r="K48" s="38" t="str"/>
      <c r="L48" s="38" t="inlineStr">
        <is>
          <t>Za preverjanje</t>
        </is>
      </c>
      <c r="M48" s="38" t="inlineStr">
        <is>
          <t>Grob Danila Podobnika in Slavka Petriča.</t>
        </is>
      </c>
      <c r="N48" s="38" t="inlineStr">
        <is>
          <t>Danilo Podobnik; Slavko Petrič</t>
        </is>
      </c>
      <c r="O48" s="38" t="inlineStr">
        <is>
          <t>https://partizanstvo.si/</t>
        </is>
      </c>
      <c r="P48" s="38" t="str"/>
      <c r="Q48" s="38" t="inlineStr">
        <is>
          <t>Ni začeto</t>
        </is>
      </c>
      <c r="R48" s="38" t="inlineStr">
        <is>
          <t>Ni začeto</t>
        </is>
      </c>
      <c r="S48" s="38" t="inlineStr">
        <is>
          <t>Ni začeto</t>
        </is>
      </c>
      <c r="T48" s="38" t="inlineStr">
        <is>
          <t>Ni začeto</t>
        </is>
      </c>
      <c r="U48" s="38" t="inlineStr">
        <is>
          <t>Ni začeto</t>
        </is>
      </c>
      <c r="V48" s="38" t="inlineStr">
        <is>
          <t>Ni začeto</t>
        </is>
      </c>
      <c r="W48" s="38" t="inlineStr">
        <is>
          <t>Ni začeto</t>
        </is>
      </c>
      <c r="X48" s="38" t="inlineStr">
        <is>
          <t>Ni začeto</t>
        </is>
      </c>
      <c r="Y48" s="38">
        <f>IF(A48="","",Nastavitve!$B$2&amp;LOWER(A48))</f>
        <v/>
      </c>
      <c r="Z48" s="38" t="inlineStr">
        <is>
          <t>Ne</t>
        </is>
      </c>
      <c r="AA48" s="38" t="inlineStr">
        <is>
          <t>Ne</t>
        </is>
      </c>
      <c r="AB48" s="38" t="inlineStr">
        <is>
          <t>Za preverjanje</t>
        </is>
      </c>
      <c r="AC48" s="38" t="inlineStr">
        <is>
          <t>Za preverjanje</t>
        </is>
      </c>
      <c r="AD48" s="38" t="inlineStr">
        <is>
          <t>Predlog – preveriti</t>
        </is>
      </c>
      <c r="AE48" s="38" t="str"/>
      <c r="AF48" s="52" t="n"/>
      <c r="AG48" s="53">
        <f>ROUND((COUNTIF(Q48:X48,"Končano")+IF(Z48="Da",1,0)+IF(AA48="Da",1,0)+IF(AC48="Potrjeno",1,0))/11,2)</f>
        <v/>
      </c>
      <c r="AH48" s="38" t="str"/>
    </row>
    <row r="49">
      <c r="A49" s="38" t="inlineStr">
        <is>
          <t>NMZ-045</t>
        </is>
      </c>
      <c r="B49" s="38" t="n">
        <v>4</v>
      </c>
      <c r="C49" s="38" t="inlineStr">
        <is>
          <t>Ragovo – Žabja vas</t>
        </is>
      </c>
      <c r="D49" s="38" t="inlineStr">
        <is>
          <t>Razširjeni vzhodni krak</t>
        </is>
      </c>
      <c r="E49" s="38" t="inlineStr">
        <is>
          <t>Grob s spomenikom padlim borcem in žrtvam NOB</t>
        </is>
      </c>
      <c r="F49" s="38" t="inlineStr">
        <is>
          <t>Smolenja vas</t>
        </is>
      </c>
      <c r="G49" s="38" t="inlineStr">
        <is>
          <t>Grob / spomenik</t>
        </is>
      </c>
      <c r="H49" s="38" t="n">
        <v>45.7879</v>
      </c>
      <c r="I49" s="38" t="n">
        <v>15.1887</v>
      </c>
      <c r="J49" s="38" t="inlineStr">
        <is>
          <t>Izhodiščni približek – terensko uskladiti</t>
        </is>
      </c>
      <c r="K49" s="38" t="str"/>
      <c r="L49" s="38" t="inlineStr">
        <is>
          <t>Za preverjanje</t>
        </is>
      </c>
      <c r="M49" s="38" t="inlineStr">
        <is>
          <t>Spominska točka padlim borcem in žrtvam NOB.</t>
        </is>
      </c>
      <c r="N49" s="38" t="inlineStr">
        <is>
          <t>Padli borci; civilne žrtve</t>
        </is>
      </c>
      <c r="O49" s="38" t="inlineStr">
        <is>
          <t>https://partizanstvo.si/sl/podrobno/partizanskispomenik/5094/</t>
        </is>
      </c>
      <c r="P49" s="38" t="str"/>
      <c r="Q49" s="38" t="inlineStr">
        <is>
          <t>Ni začeto</t>
        </is>
      </c>
      <c r="R49" s="38" t="inlineStr">
        <is>
          <t>Ni začeto</t>
        </is>
      </c>
      <c r="S49" s="38" t="inlineStr">
        <is>
          <t>Ni začeto</t>
        </is>
      </c>
      <c r="T49" s="38" t="inlineStr">
        <is>
          <t>Ni začeto</t>
        </is>
      </c>
      <c r="U49" s="38" t="inlineStr">
        <is>
          <t>Ni začeto</t>
        </is>
      </c>
      <c r="V49" s="38" t="inlineStr">
        <is>
          <t>Ni začeto</t>
        </is>
      </c>
      <c r="W49" s="38" t="inlineStr">
        <is>
          <t>Ni začeto</t>
        </is>
      </c>
      <c r="X49" s="38" t="inlineStr">
        <is>
          <t>Ni začeto</t>
        </is>
      </c>
      <c r="Y49" s="38">
        <f>IF(A49="","",Nastavitve!$B$2&amp;LOWER(A49))</f>
        <v/>
      </c>
      <c r="Z49" s="38" t="inlineStr">
        <is>
          <t>Ne</t>
        </is>
      </c>
      <c r="AA49" s="38" t="inlineStr">
        <is>
          <t>Ne</t>
        </is>
      </c>
      <c r="AB49" s="38" t="inlineStr">
        <is>
          <t>Za preverjanje</t>
        </is>
      </c>
      <c r="AC49" s="38" t="inlineStr">
        <is>
          <t>Za preverjanje</t>
        </is>
      </c>
      <c r="AD49" s="38" t="inlineStr">
        <is>
          <t>Predlog – preveriti</t>
        </is>
      </c>
      <c r="AE49" s="38" t="str"/>
      <c r="AF49" s="52" t="n"/>
      <c r="AG49" s="53">
        <f>ROUND((COUNTIF(Q49:X49,"Končano")+IF(Z49="Da",1,0)+IF(AA49="Da",1,0)+IF(AC49="Potrjeno",1,0))/11,2)</f>
        <v/>
      </c>
      <c r="AH49" s="38" t="str"/>
    </row>
    <row r="50">
      <c r="A50" s="38" t="inlineStr">
        <is>
          <t>NMZ-046</t>
        </is>
      </c>
      <c r="B50" s="38" t="n">
        <v>4</v>
      </c>
      <c r="C50" s="38" t="inlineStr">
        <is>
          <t>Ragovo – Žabja vas</t>
        </is>
      </c>
      <c r="D50" s="38" t="inlineStr">
        <is>
          <t>Razširjeni vzhodni krak</t>
        </is>
      </c>
      <c r="E50" s="38" t="inlineStr">
        <is>
          <t>Spomenik NOB</t>
        </is>
      </c>
      <c r="F50" s="38" t="inlineStr">
        <is>
          <t>Mali Slatnik</t>
        </is>
      </c>
      <c r="G50" s="38" t="inlineStr">
        <is>
          <t>Spomenik</t>
        </is>
      </c>
      <c r="H50" s="38" t="n">
        <v>45.7896</v>
      </c>
      <c r="I50" s="38" t="n">
        <v>15.2059</v>
      </c>
      <c r="J50" s="38" t="inlineStr">
        <is>
          <t>Izhodiščni približek – terensko uskladiti</t>
        </is>
      </c>
      <c r="K50" s="38" t="str"/>
      <c r="L50" s="38" t="inlineStr">
        <is>
          <t>Za preverjanje</t>
        </is>
      </c>
      <c r="M50" s="38" t="inlineStr">
        <is>
          <t>Lokalni spomenik NOB na Malem Slatniku.</t>
        </is>
      </c>
      <c r="N50" s="38" t="inlineStr">
        <is>
          <t>Lokalni odpor; padli</t>
        </is>
      </c>
      <c r="O50" s="38" t="inlineStr">
        <is>
          <t>https://partizanstvo.si/</t>
        </is>
      </c>
      <c r="P50" s="38" t="str"/>
      <c r="Q50" s="38" t="inlineStr">
        <is>
          <t>Ni začeto</t>
        </is>
      </c>
      <c r="R50" s="38" t="inlineStr">
        <is>
          <t>Ni začeto</t>
        </is>
      </c>
      <c r="S50" s="38" t="inlineStr">
        <is>
          <t>Ni začeto</t>
        </is>
      </c>
      <c r="T50" s="38" t="inlineStr">
        <is>
          <t>Ni začeto</t>
        </is>
      </c>
      <c r="U50" s="38" t="inlineStr">
        <is>
          <t>Ni začeto</t>
        </is>
      </c>
      <c r="V50" s="38" t="inlineStr">
        <is>
          <t>Ni začeto</t>
        </is>
      </c>
      <c r="W50" s="38" t="inlineStr">
        <is>
          <t>Ni začeto</t>
        </is>
      </c>
      <c r="X50" s="38" t="inlineStr">
        <is>
          <t>Ni začeto</t>
        </is>
      </c>
      <c r="Y50" s="38">
        <f>IF(A50="","",Nastavitve!$B$2&amp;LOWER(A50))</f>
        <v/>
      </c>
      <c r="Z50" s="38" t="inlineStr">
        <is>
          <t>Ne</t>
        </is>
      </c>
      <c r="AA50" s="38" t="inlineStr">
        <is>
          <t>Ne</t>
        </is>
      </c>
      <c r="AB50" s="38" t="inlineStr">
        <is>
          <t>Za preverjanje</t>
        </is>
      </c>
      <c r="AC50" s="38" t="inlineStr">
        <is>
          <t>Za preverjanje</t>
        </is>
      </c>
      <c r="AD50" s="38" t="inlineStr">
        <is>
          <t>Predlog – preveriti</t>
        </is>
      </c>
      <c r="AE50" s="38" t="str"/>
      <c r="AF50" s="52" t="n"/>
      <c r="AG50" s="53">
        <f>ROUND((COUNTIF(Q50:X50,"Končano")+IF(Z50="Da",1,0)+IF(AA50="Da",1,0)+IF(AC50="Potrjeno",1,0))/11,2)</f>
        <v/>
      </c>
      <c r="AH50" s="38" t="str"/>
    </row>
    <row r="51">
      <c r="A51" s="38" t="inlineStr">
        <is>
          <t>NMZ-047</t>
        </is>
      </c>
      <c r="B51" s="38" t="n">
        <v>4</v>
      </c>
      <c r="C51" s="38" t="inlineStr">
        <is>
          <t>Ragovo – Žabja vas</t>
        </is>
      </c>
      <c r="D51" s="38" t="inlineStr">
        <is>
          <t>Razširjeni vzhodni krak</t>
        </is>
      </c>
      <c r="E51" s="38" t="inlineStr">
        <is>
          <t>Grobnica padlih in žrtev NOB</t>
        </is>
      </c>
      <c r="F51" s="38" t="inlineStr">
        <is>
          <t>Otočec</t>
        </is>
      </c>
      <c r="G51" s="38" t="inlineStr">
        <is>
          <t>Grobnica</t>
        </is>
      </c>
      <c r="H51" s="38" t="n">
        <v>45.839</v>
      </c>
      <c r="I51" s="38" t="n">
        <v>15.2261</v>
      </c>
      <c r="J51" s="38" t="inlineStr">
        <is>
          <t>Izhodiščni približek – terensko uskladiti</t>
        </is>
      </c>
      <c r="K51" s="38" t="str"/>
      <c r="L51" s="38" t="inlineStr">
        <is>
          <t>Za preverjanje</t>
        </is>
      </c>
      <c r="M51" s="38" t="inlineStr">
        <is>
          <t>Grobnica padlih in žrtev NOB na Otočcu.</t>
        </is>
      </c>
      <c r="N51" s="38" t="inlineStr">
        <is>
          <t>Padli borci; civilne žrtve</t>
        </is>
      </c>
      <c r="O51" s="38" t="inlineStr">
        <is>
          <t>https://partizanstvo.si/</t>
        </is>
      </c>
      <c r="P51" s="38" t="str"/>
      <c r="Q51" s="38" t="inlineStr">
        <is>
          <t>Ni začeto</t>
        </is>
      </c>
      <c r="R51" s="38" t="inlineStr">
        <is>
          <t>Ni začeto</t>
        </is>
      </c>
      <c r="S51" s="38" t="inlineStr">
        <is>
          <t>Ni začeto</t>
        </is>
      </c>
      <c r="T51" s="38" t="inlineStr">
        <is>
          <t>Ni začeto</t>
        </is>
      </c>
      <c r="U51" s="38" t="inlineStr">
        <is>
          <t>Ni začeto</t>
        </is>
      </c>
      <c r="V51" s="38" t="inlineStr">
        <is>
          <t>Ni začeto</t>
        </is>
      </c>
      <c r="W51" s="38" t="inlineStr">
        <is>
          <t>Ni začeto</t>
        </is>
      </c>
      <c r="X51" s="38" t="inlineStr">
        <is>
          <t>Ni začeto</t>
        </is>
      </c>
      <c r="Y51" s="38">
        <f>IF(A51="","",Nastavitve!$B$2&amp;LOWER(A51))</f>
        <v/>
      </c>
      <c r="Z51" s="38" t="inlineStr">
        <is>
          <t>Ne</t>
        </is>
      </c>
      <c r="AA51" s="38" t="inlineStr">
        <is>
          <t>Ne</t>
        </is>
      </c>
      <c r="AB51" s="38" t="inlineStr">
        <is>
          <t>Za preverjanje</t>
        </is>
      </c>
      <c r="AC51" s="38" t="inlineStr">
        <is>
          <t>Za preverjanje</t>
        </is>
      </c>
      <c r="AD51" s="38" t="inlineStr">
        <is>
          <t>Predlog – preveriti</t>
        </is>
      </c>
      <c r="AE51" s="38" t="str"/>
      <c r="AF51" s="52" t="n"/>
      <c r="AG51" s="53">
        <f>ROUND((COUNTIF(Q51:X51,"Končano")+IF(Z51="Da",1,0)+IF(AA51="Da",1,0)+IF(AC51="Potrjeno",1,0))/11,2)</f>
        <v/>
      </c>
      <c r="AH51" s="38" t="str"/>
    </row>
    <row r="52">
      <c r="A52" s="38" t="inlineStr">
        <is>
          <t>NMZ-048</t>
        </is>
      </c>
      <c r="B52" s="38" t="n">
        <v>4</v>
      </c>
      <c r="C52" s="38" t="inlineStr">
        <is>
          <t>Ragovo – Žabja vas</t>
        </is>
      </c>
      <c r="D52" s="38" t="inlineStr">
        <is>
          <t>Razširjeni vzhodni krak</t>
        </is>
      </c>
      <c r="E52" s="38" t="inlineStr">
        <is>
          <t>NOB obeležje pri stari šoli</t>
        </is>
      </c>
      <c r="F52" s="38" t="inlineStr">
        <is>
          <t>Otočec</t>
        </is>
      </c>
      <c r="G52" s="38" t="inlineStr">
        <is>
          <t>Spominsko obeležje</t>
        </is>
      </c>
      <c r="H52" s="38" t="n">
        <v>45.8382</v>
      </c>
      <c r="I52" s="38" t="n">
        <v>15.2248</v>
      </c>
      <c r="J52" s="38" t="inlineStr">
        <is>
          <t>Izhodiščni približek – terensko uskladiti</t>
        </is>
      </c>
      <c r="K52" s="38" t="str"/>
      <c r="L52" s="38" t="inlineStr">
        <is>
          <t>Za preverjanje</t>
        </is>
      </c>
      <c r="M52" s="38" t="inlineStr">
        <is>
          <t>NOB obeležje pri stari šoli.</t>
        </is>
      </c>
      <c r="N52" s="38" t="inlineStr">
        <is>
          <t>Mladi; lokalna zgodovina</t>
        </is>
      </c>
      <c r="O52" s="38" t="inlineStr">
        <is>
          <t>https://partizanstvo.si/</t>
        </is>
      </c>
      <c r="P52" s="38" t="str"/>
      <c r="Q52" s="38" t="inlineStr">
        <is>
          <t>Ni začeto</t>
        </is>
      </c>
      <c r="R52" s="38" t="inlineStr">
        <is>
          <t>Ni začeto</t>
        </is>
      </c>
      <c r="S52" s="38" t="inlineStr">
        <is>
          <t>Ni začeto</t>
        </is>
      </c>
      <c r="T52" s="38" t="inlineStr">
        <is>
          <t>Ni začeto</t>
        </is>
      </c>
      <c r="U52" s="38" t="inlineStr">
        <is>
          <t>Ni začeto</t>
        </is>
      </c>
      <c r="V52" s="38" t="inlineStr">
        <is>
          <t>Ni začeto</t>
        </is>
      </c>
      <c r="W52" s="38" t="inlineStr">
        <is>
          <t>Ni začeto</t>
        </is>
      </c>
      <c r="X52" s="38" t="inlineStr">
        <is>
          <t>Ni začeto</t>
        </is>
      </c>
      <c r="Y52" s="38">
        <f>IF(A52="","",Nastavitve!$B$2&amp;LOWER(A52))</f>
        <v/>
      </c>
      <c r="Z52" s="38" t="inlineStr">
        <is>
          <t>Ne</t>
        </is>
      </c>
      <c r="AA52" s="38" t="inlineStr">
        <is>
          <t>Ne</t>
        </is>
      </c>
      <c r="AB52" s="38" t="inlineStr">
        <is>
          <t>Za preverjanje</t>
        </is>
      </c>
      <c r="AC52" s="38" t="inlineStr">
        <is>
          <t>Za preverjanje</t>
        </is>
      </c>
      <c r="AD52" s="38" t="inlineStr">
        <is>
          <t>Predlog – preveriti</t>
        </is>
      </c>
      <c r="AE52" s="38" t="str"/>
      <c r="AF52" s="52" t="n"/>
      <c r="AG52" s="53">
        <f>ROUND((COUNTIF(Q52:X52,"Končano")+IF(Z52="Da",1,0)+IF(AA52="Da",1,0)+IF(AC52="Potrjeno",1,0))/11,2)</f>
        <v/>
      </c>
      <c r="AH52" s="38" t="str"/>
    </row>
    <row r="53">
      <c r="A53" s="38" t="inlineStr">
        <is>
          <t>NMZ-049</t>
        </is>
      </c>
      <c r="B53" s="38" t="n">
        <v>3</v>
      </c>
      <c r="C53" s="38" t="inlineStr">
        <is>
          <t>Bučna vas – Ragovo</t>
        </is>
      </c>
      <c r="D53" s="38" t="inlineStr">
        <is>
          <t>Razširjeni severovzhodni krak</t>
        </is>
      </c>
      <c r="E53" s="38" t="inlineStr">
        <is>
          <t>Spominsko obeležje 2. četi 1. dolenjskega bataljona</t>
        </is>
      </c>
      <c r="F53" s="38" t="inlineStr">
        <is>
          <t>Trška Gora</t>
        </is>
      </c>
      <c r="G53" s="38" t="inlineStr">
        <is>
          <t>Spominsko obeležje</t>
        </is>
      </c>
      <c r="H53" s="38" t="n">
        <v>45.8369</v>
      </c>
      <c r="I53" s="38" t="n">
        <v>15.1816</v>
      </c>
      <c r="J53" s="38" t="inlineStr">
        <is>
          <t>Izhodiščni približek – terensko uskladiti</t>
        </is>
      </c>
      <c r="K53" s="38" t="str"/>
      <c r="L53" s="38" t="inlineStr">
        <is>
          <t>Za preverjanje</t>
        </is>
      </c>
      <c r="M53" s="38" t="inlineStr">
        <is>
          <t>Obeležje, povezano z 2. četo 1. dolenjskega bataljona.</t>
        </is>
      </c>
      <c r="N53" s="38" t="inlineStr">
        <is>
          <t>Partizanske enote; Dolenjski bataljon</t>
        </is>
      </c>
      <c r="O53" s="38" t="inlineStr">
        <is>
          <t>https://partizanstvo.si/</t>
        </is>
      </c>
      <c r="P53" s="38" t="str"/>
      <c r="Q53" s="38" t="inlineStr">
        <is>
          <t>Ni začeto</t>
        </is>
      </c>
      <c r="R53" s="38" t="inlineStr">
        <is>
          <t>Ni začeto</t>
        </is>
      </c>
      <c r="S53" s="38" t="inlineStr">
        <is>
          <t>Ni začeto</t>
        </is>
      </c>
      <c r="T53" s="38" t="inlineStr">
        <is>
          <t>Ni začeto</t>
        </is>
      </c>
      <c r="U53" s="38" t="inlineStr">
        <is>
          <t>Ni začeto</t>
        </is>
      </c>
      <c r="V53" s="38" t="inlineStr">
        <is>
          <t>Ni začeto</t>
        </is>
      </c>
      <c r="W53" s="38" t="inlineStr">
        <is>
          <t>Ni začeto</t>
        </is>
      </c>
      <c r="X53" s="38" t="inlineStr">
        <is>
          <t>Ni začeto</t>
        </is>
      </c>
      <c r="Y53" s="38">
        <f>IF(A53="","",Nastavitve!$B$2&amp;LOWER(A53))</f>
        <v/>
      </c>
      <c r="Z53" s="38" t="inlineStr">
        <is>
          <t>Ne</t>
        </is>
      </c>
      <c r="AA53" s="38" t="inlineStr">
        <is>
          <t>Ne</t>
        </is>
      </c>
      <c r="AB53" s="38" t="inlineStr">
        <is>
          <t>Za preverjanje</t>
        </is>
      </c>
      <c r="AC53" s="38" t="inlineStr">
        <is>
          <t>Za preverjanje</t>
        </is>
      </c>
      <c r="AD53" s="38" t="inlineStr">
        <is>
          <t>Predlog – preveriti</t>
        </is>
      </c>
      <c r="AE53" s="38" t="str"/>
      <c r="AF53" s="52" t="n"/>
      <c r="AG53" s="53">
        <f>ROUND((COUNTIF(Q53:X53,"Končano")+IF(Z53="Da",1,0)+IF(AA53="Da",1,0)+IF(AC53="Potrjeno",1,0))/11,2)</f>
        <v/>
      </c>
      <c r="AH53" s="38" t="str"/>
    </row>
    <row r="54">
      <c r="A54" s="38" t="inlineStr">
        <is>
          <t>NMZ-050</t>
        </is>
      </c>
      <c r="B54" s="38" t="n">
        <v>4</v>
      </c>
      <c r="C54" s="38" t="inlineStr">
        <is>
          <t>Ragovo – Žabja vas</t>
        </is>
      </c>
      <c r="D54" s="38" t="inlineStr">
        <is>
          <t>Razširjeni vzhodni krak</t>
        </is>
      </c>
      <c r="E54" s="38" t="inlineStr">
        <is>
          <t>Beceletova jama s spominskima ploščama</t>
        </is>
      </c>
      <c r="F54" s="38" t="inlineStr">
        <is>
          <t>Zagrad pri Otočcu</t>
        </is>
      </c>
      <c r="G54" s="38" t="inlineStr">
        <is>
          <t>Naravna lokacija / spominski plošči</t>
        </is>
      </c>
      <c r="H54" s="38" t="n">
        <v>45.8364</v>
      </c>
      <c r="I54" s="38" t="n">
        <v>15.2449</v>
      </c>
      <c r="J54" s="38" t="inlineStr">
        <is>
          <t>Izhodiščni približek – terensko uskladiti</t>
        </is>
      </c>
      <c r="K54" s="38" t="str"/>
      <c r="L54" s="38" t="inlineStr">
        <is>
          <t>Za preverjanje</t>
        </is>
      </c>
      <c r="M54" s="38" t="inlineStr">
        <is>
          <t>Lokacija Beceletove jame z dvema spominskima ploščama.</t>
        </is>
      </c>
      <c r="N54" s="38" t="inlineStr">
        <is>
          <t>Dogodki NOB; spomin v krajini</t>
        </is>
      </c>
      <c r="O54" s="38" t="inlineStr">
        <is>
          <t>https://partizanstvo.si/</t>
        </is>
      </c>
      <c r="P54" s="38" t="str"/>
      <c r="Q54" s="38" t="inlineStr">
        <is>
          <t>Ni začeto</t>
        </is>
      </c>
      <c r="R54" s="38" t="inlineStr">
        <is>
          <t>Ni začeto</t>
        </is>
      </c>
      <c r="S54" s="38" t="inlineStr">
        <is>
          <t>Ni začeto</t>
        </is>
      </c>
      <c r="T54" s="38" t="inlineStr">
        <is>
          <t>Ni začeto</t>
        </is>
      </c>
      <c r="U54" s="38" t="inlineStr">
        <is>
          <t>Ni začeto</t>
        </is>
      </c>
      <c r="V54" s="38" t="inlineStr">
        <is>
          <t>Ni začeto</t>
        </is>
      </c>
      <c r="W54" s="38" t="inlineStr">
        <is>
          <t>Ni začeto</t>
        </is>
      </c>
      <c r="X54" s="38" t="inlineStr">
        <is>
          <t>Ni začeto</t>
        </is>
      </c>
      <c r="Y54" s="38">
        <f>IF(A54="","",Nastavitve!$B$2&amp;LOWER(A54))</f>
        <v/>
      </c>
      <c r="Z54" s="38" t="inlineStr">
        <is>
          <t>Ne</t>
        </is>
      </c>
      <c r="AA54" s="38" t="inlineStr">
        <is>
          <t>Ne</t>
        </is>
      </c>
      <c r="AB54" s="38" t="inlineStr">
        <is>
          <t>Za preverjanje</t>
        </is>
      </c>
      <c r="AC54" s="38" t="inlineStr">
        <is>
          <t>Za preverjanje</t>
        </is>
      </c>
      <c r="AD54" s="38" t="inlineStr">
        <is>
          <t>Predlog – preveriti</t>
        </is>
      </c>
      <c r="AE54" s="38" t="str"/>
      <c r="AF54" s="52" t="n"/>
      <c r="AG54" s="53">
        <f>ROUND((COUNTIF(Q54:X54,"Končano")+IF(Z54="Da",1,0)+IF(AA54="Da",1,0)+IF(AC54="Potrjeno",1,0))/11,2)</f>
        <v/>
      </c>
      <c r="AH54" s="38" t="str"/>
    </row>
  </sheetData>
  <mergeCells count="2">
    <mergeCell ref="A2:AH2"/>
    <mergeCell ref="A1:AH1"/>
  </mergeCells>
  <conditionalFormatting sqref="AG5:AG54">
    <cfRule type="dataBar" priority="1">
      <dataBar>
        <cfvo type="min"/>
        <cfvo type="max"/>
        <color rgb="FFA61E4D"/>
      </dataBar>
    </cfRule>
  </conditionalFormatting>
  <conditionalFormatting sqref="AD5:AD54">
    <cfRule type="expression" priority="2" dxfId="0">
      <formula>AD5="Objavljeno"</formula>
    </cfRule>
    <cfRule type="expression" priority="3" dxfId="1">
      <formula>AD5="Predlog – preveriti"</formula>
    </cfRule>
  </conditionalFormatting>
  <conditionalFormatting sqref="J5:J54">
    <cfRule type="expression" priority="4" dxfId="2">
      <formula>J5="Za preverjanje"</formula>
    </cfRule>
  </conditionalFormatting>
  <conditionalFormatting sqref="L5:L54">
    <cfRule type="expression" priority="5" dxfId="0">
      <formula>L5="Vpisano"</formula>
    </cfRule>
  </conditionalFormatting>
  <dataValidations count="16">
    <dataValidation sqref="D5:D54" showDropDown="0" showInputMessage="0" showErrorMessage="0" allowBlank="0" type="list">
      <formula1>Šifranti!$H$2:$H$8</formula1>
    </dataValidation>
    <dataValidation sqref="J5:J54" showDropDown="0" showInputMessage="0" showErrorMessage="0" allowBlank="0" type="list">
      <formula1>Šifranti!$C$2:$C$4</formula1>
    </dataValidation>
    <dataValidation sqref="L5:L54" showDropDown="0" showInputMessage="0" showErrorMessage="0" allowBlank="0" type="list">
      <formula1>Šifranti!$D$2:$D$5</formula1>
    </dataValidation>
    <dataValidation sqref="Q5:Q54" showDropDown="0" showInputMessage="0" showErrorMessage="0" allowBlank="0" type="list">
      <formula1>Šifranti!$A$2:$A$6</formula1>
    </dataValidation>
    <dataValidation sqref="R5:R54" showDropDown="0" showInputMessage="0" showErrorMessage="0" allowBlank="0" type="list">
      <formula1>Šifranti!$A$2:$A$6</formula1>
    </dataValidation>
    <dataValidation sqref="S5:S54" showDropDown="0" showInputMessage="0" showErrorMessage="0" allowBlank="0" type="list">
      <formula1>Šifranti!$A$2:$A$6</formula1>
    </dataValidation>
    <dataValidation sqref="T5:T54" showDropDown="0" showInputMessage="0" showErrorMessage="0" allowBlank="0" type="list">
      <formula1>Šifranti!$A$2:$A$6</formula1>
    </dataValidation>
    <dataValidation sqref="U5:U54" showDropDown="0" showInputMessage="0" showErrorMessage="0" allowBlank="0" type="list">
      <formula1>Šifranti!$A$2:$A$6</formula1>
    </dataValidation>
    <dataValidation sqref="V5:V54" showDropDown="0" showInputMessage="0" showErrorMessage="0" allowBlank="0" type="list">
      <formula1>Šifranti!$A$2:$A$6</formula1>
    </dataValidation>
    <dataValidation sqref="W5:W54" showDropDown="0" showInputMessage="0" showErrorMessage="0" allowBlank="0" type="list">
      <formula1>Šifranti!$A$2:$A$6</formula1>
    </dataValidation>
    <dataValidation sqref="X5:X54" showDropDown="0" showInputMessage="0" showErrorMessage="0" allowBlank="0" type="list">
      <formula1>Šifranti!$A$2:$A$6</formula1>
    </dataValidation>
    <dataValidation sqref="Z5:Z54" showDropDown="0" showInputMessage="0" showErrorMessage="0" allowBlank="0" type="list">
      <formula1>Šifranti!$B$2:$B$3</formula1>
    </dataValidation>
    <dataValidation sqref="AA5:AA54" showDropDown="0" showInputMessage="0" showErrorMessage="0" allowBlank="0" type="list">
      <formula1>Šifranti!$B$2:$B$3</formula1>
    </dataValidation>
    <dataValidation sqref="AB5:AB54" showDropDown="0" showInputMessage="0" showErrorMessage="0" allowBlank="0" type="list">
      <formula1>Šifranti!$E$2:$E$5</formula1>
    </dataValidation>
    <dataValidation sqref="AC5:AC54" showDropDown="0" showInputMessage="0" showErrorMessage="0" allowBlank="0" type="list">
      <formula1>Šifranti!$F$2:$F$5</formula1>
    </dataValidation>
    <dataValidation sqref="AD5:AD54" showDropDown="0" showInputMessage="0" showErrorMessage="0" allowBlank="0" type="list">
      <formula1>Šifranti!$G$2:$G$8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44" t="inlineStr">
        <is>
          <t>NASTAVITVE PLATFORME</t>
        </is>
      </c>
      <c r="B1" s="44" t="inlineStr">
        <is>
          <t>Vrednost</t>
        </is>
      </c>
    </row>
    <row r="2">
      <c r="A2" t="inlineStr">
        <is>
          <t>Osnovni URL QR</t>
        </is>
      </c>
      <c r="B2" t="inlineStr">
        <is>
          <t>https://novomestovzici.si/</t>
        </is>
      </c>
    </row>
    <row r="3">
      <c r="A3" t="inlineStr">
        <is>
          <t>Ciljno št. obeležij</t>
        </is>
      </c>
      <c r="B3" t="n">
        <v>50</v>
      </c>
    </row>
    <row r="4">
      <c r="A4" t="inlineStr">
        <is>
          <t>Projekt</t>
        </is>
      </c>
      <c r="B4" t="inlineStr">
        <is>
          <t>Nevarnosti vzpona neonacizma in fašizma</t>
        </is>
      </c>
    </row>
    <row r="5">
      <c r="A5" t="inlineStr">
        <is>
          <t>Aktivnost</t>
        </is>
      </c>
      <c r="B5" t="inlineStr">
        <is>
          <t>A1 – Digitalizacija Poti ob žici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7" t="inlineStr">
        <is>
          <t>Vsebinski status</t>
        </is>
      </c>
      <c r="B1" s="47" t="inlineStr">
        <is>
          <t>Da/Ne</t>
        </is>
      </c>
      <c r="C1" s="47" t="inlineStr">
        <is>
          <t>GPS status</t>
        </is>
      </c>
      <c r="D1" s="47" t="inlineStr">
        <is>
          <t>EŠD status</t>
        </is>
      </c>
      <c r="E1" s="47" t="inlineStr">
        <is>
          <t>Dovoljenje QR</t>
        </is>
      </c>
      <c r="F1" s="47" t="inlineStr">
        <is>
          <t>Strokovna verifikacija</t>
        </is>
      </c>
      <c r="G1" s="47" t="inlineStr">
        <is>
          <t>Status izvedbe</t>
        </is>
      </c>
      <c r="H1" s="47" t="inlineStr">
        <is>
          <t>Vključitev</t>
        </is>
      </c>
    </row>
    <row r="2">
      <c r="A2" t="inlineStr">
        <is>
          <t>Ni začeto</t>
        </is>
      </c>
      <c r="B2" t="inlineStr">
        <is>
          <t>Da</t>
        </is>
      </c>
      <c r="C2" t="inlineStr">
        <is>
          <t>Za preverjanje</t>
        </is>
      </c>
      <c r="D2" t="inlineStr">
        <is>
          <t>Za preverjanje</t>
        </is>
      </c>
      <c r="E2" t="inlineStr">
        <is>
          <t>Za preverjanje</t>
        </is>
      </c>
      <c r="F2" t="inlineStr">
        <is>
          <t>Za preverjanje</t>
        </is>
      </c>
      <c r="G2" t="inlineStr">
        <is>
          <t>Predlog – preveriti</t>
        </is>
      </c>
      <c r="H2" t="inlineStr">
        <is>
          <t>Osnovna pot</t>
        </is>
      </c>
    </row>
    <row r="3">
      <c r="A3" t="inlineStr">
        <is>
          <t>V pripravi</t>
        </is>
      </c>
      <c r="B3" t="inlineStr">
        <is>
          <t>Ne</t>
        </is>
      </c>
      <c r="C3" t="inlineStr">
        <is>
          <t>Terensko izmerjeno</t>
        </is>
      </c>
      <c r="D3" t="inlineStr">
        <is>
          <t>Vpisano</t>
        </is>
      </c>
      <c r="E3" t="inlineStr">
        <is>
          <t>Pridobljeno</t>
        </is>
      </c>
      <c r="F3" t="inlineStr">
        <is>
          <t>V pregledu</t>
        </is>
      </c>
      <c r="G3" t="inlineStr">
        <is>
          <t>Potrjeno za vključitev</t>
        </is>
      </c>
      <c r="H3" t="inlineStr">
        <is>
          <t>Osnovna pot / bližina</t>
        </is>
      </c>
    </row>
    <row r="4">
      <c r="A4" t="inlineStr">
        <is>
          <t>Za preverjanje</t>
        </is>
      </c>
      <c r="C4" t="inlineStr">
        <is>
          <t>Preverjeno v GIS</t>
        </is>
      </c>
      <c r="D4" t="inlineStr">
        <is>
          <t>Ni EŠD</t>
        </is>
      </c>
      <c r="E4" t="inlineStr">
        <is>
          <t>Ni potrebno</t>
        </is>
      </c>
      <c r="F4" t="inlineStr">
        <is>
          <t>Potrjeno</t>
        </is>
      </c>
      <c r="G4" t="inlineStr">
        <is>
          <t>Terenski popis</t>
        </is>
      </c>
      <c r="H4" t="inlineStr">
        <is>
          <t>Bližina poti</t>
        </is>
      </c>
    </row>
    <row r="5">
      <c r="A5" t="inlineStr">
        <is>
          <t>Končano</t>
        </is>
      </c>
      <c r="D5" t="inlineStr">
        <is>
          <t>Ni relevantno</t>
        </is>
      </c>
      <c r="E5" t="inlineStr">
        <is>
          <t>Zavrnjeno</t>
        </is>
      </c>
      <c r="F5" t="inlineStr">
        <is>
          <t>Potrebni popravki</t>
        </is>
      </c>
      <c r="G5" t="inlineStr">
        <is>
          <t>V pripravi vsebin</t>
        </is>
      </c>
      <c r="H5" t="inlineStr">
        <is>
          <t>Razširjeni zahodni krak</t>
        </is>
      </c>
    </row>
    <row r="6">
      <c r="A6" t="inlineStr">
        <is>
          <t>Ni potrebno</t>
        </is>
      </c>
      <c r="G6" t="inlineStr">
        <is>
          <t>V tehnični pripravi</t>
        </is>
      </c>
      <c r="H6" t="inlineStr">
        <is>
          <t>Razširjeni severni krak</t>
        </is>
      </c>
    </row>
    <row r="7">
      <c r="G7" t="inlineStr">
        <is>
          <t>Objavljeno</t>
        </is>
      </c>
      <c r="H7" t="inlineStr">
        <is>
          <t>Razširjeni severovzhodni krak</t>
        </is>
      </c>
    </row>
    <row r="8">
      <c r="G8" t="inlineStr">
        <is>
          <t>Izločeno / zamenjano</t>
        </is>
      </c>
      <c r="H8" t="inlineStr">
        <is>
          <t>Razširjeni vzhodni krak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16" customWidth="1" min="4" max="4"/>
    <col width="38" customWidth="1" min="5" max="5"/>
    <col width="16" customWidth="1" min="6" max="6"/>
    <col width="16" customWidth="1" min="7" max="7"/>
    <col width="44" customWidth="1" min="8" max="8"/>
  </cols>
  <sheetData>
    <row r="1">
      <c r="A1" s="8" t="inlineStr">
        <is>
          <t>8 ETAP DIGITALNE UČNE POTI – OPERATIVNA RAZPOREDITEV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20" t="inlineStr">
        <is>
          <t>Etapa</t>
        </is>
      </c>
      <c r="B3" s="20" t="inlineStr">
        <is>
          <t>Odsek</t>
        </is>
      </c>
      <c r="C3" s="20" t="inlineStr">
        <is>
          <t>Osnovni fokus</t>
        </is>
      </c>
      <c r="D3" s="20" t="inlineStr">
        <is>
          <t>Št. točk v MASTER</t>
        </is>
      </c>
      <c r="E3" s="20" t="inlineStr">
        <is>
          <t>Razširjeni kraki</t>
        </is>
      </c>
      <c r="F3" s="20" t="inlineStr">
        <is>
          <t>Terenski popis</t>
        </is>
      </c>
      <c r="G3" s="20" t="inlineStr">
        <is>
          <t>Strokovni pregled</t>
        </is>
      </c>
      <c r="H3" s="20" t="inlineStr">
        <is>
          <t>Opomba</t>
        </is>
      </c>
    </row>
    <row r="4">
      <c r="A4" s="50" t="n">
        <v>1</v>
      </c>
      <c r="B4" s="50" t="inlineStr">
        <is>
          <t>Loka – Bršljin</t>
        </is>
      </c>
      <c r="C4" s="50" t="inlineStr">
        <is>
          <t>Bršljin, železnica, Marof</t>
        </is>
      </c>
      <c r="D4" s="50">
        <f>COUNTIF('MASTER 50'!$B$5:$B$54,A4)</f>
        <v/>
      </c>
      <c r="E4" s="50" t="inlineStr">
        <is>
          <t>–</t>
        </is>
      </c>
      <c r="F4" s="50" t="inlineStr">
        <is>
          <t>Ni začeto</t>
        </is>
      </c>
      <c r="G4" s="50" t="inlineStr">
        <is>
          <t>Ni začeto</t>
        </is>
      </c>
      <c r="H4" s="50" t="inlineStr">
        <is>
          <t>Preveriti natančen potek trase in dostop do železniških točk.</t>
        </is>
      </c>
    </row>
    <row r="5">
      <c r="A5" s="50" t="n">
        <v>2</v>
      </c>
      <c r="B5" s="50" t="inlineStr">
        <is>
          <t>Bršljin – Bučna vas</t>
        </is>
      </c>
      <c r="C5" s="50" t="inlineStr">
        <is>
          <t>Bršljin, Bučna vas</t>
        </is>
      </c>
      <c r="D5" s="50">
        <f>COUNTIF('MASTER 50'!$B$5:$B$54,A5)</f>
        <v/>
      </c>
      <c r="E5" s="50" t="inlineStr">
        <is>
          <t>Prečna, Češča vas</t>
        </is>
      </c>
      <c r="F5" s="50" t="inlineStr">
        <is>
          <t>Ni začeto</t>
        </is>
      </c>
      <c r="G5" s="50" t="inlineStr">
        <is>
          <t>Ni začeto</t>
        </is>
      </c>
      <c r="H5" s="50" t="inlineStr">
        <is>
          <t>Razširjeni zahodni krak je operativno pripisan etapi 2.</t>
        </is>
      </c>
    </row>
    <row r="6">
      <c r="A6" s="50" t="n">
        <v>3</v>
      </c>
      <c r="B6" s="50" t="inlineStr">
        <is>
          <t>Bučna vas – Ragovo</t>
        </is>
      </c>
      <c r="C6" s="50" t="inlineStr">
        <is>
          <t>Ločna, severni rob mesta</t>
        </is>
      </c>
      <c r="D6" s="50">
        <f>COUNTIF('MASTER 50'!$B$5:$B$54,A6)</f>
        <v/>
      </c>
      <c r="E6" s="50" t="inlineStr">
        <is>
          <t>Dolenje Kamence, Kuzarjev Kal, Trška Gora</t>
        </is>
      </c>
      <c r="F6" s="50" t="inlineStr">
        <is>
          <t>Ni začeto</t>
        </is>
      </c>
      <c r="G6" s="50" t="inlineStr">
        <is>
          <t>Ni začeto</t>
        </is>
      </c>
      <c r="H6" s="50" t="inlineStr">
        <is>
          <t>Razširitve je treba GIS preveriti glede smiselne povezave.</t>
        </is>
      </c>
    </row>
    <row r="7">
      <c r="A7" s="50" t="n">
        <v>4</v>
      </c>
      <c r="B7" s="50" t="inlineStr">
        <is>
          <t>Ragovo – Žabja vas</t>
        </is>
      </c>
      <c r="C7" s="50" t="inlineStr">
        <is>
          <t>Ragovo, Žabja vas</t>
        </is>
      </c>
      <c r="D7" s="50">
        <f>COUNTIF('MASTER 50'!$B$5:$B$54,A7)</f>
        <v/>
      </c>
      <c r="E7" s="50" t="inlineStr">
        <is>
          <t>Smolenja vas, Mali Slatnik, Otočec, Zagrad</t>
        </is>
      </c>
      <c r="F7" s="50" t="inlineStr">
        <is>
          <t>Ni začeto</t>
        </is>
      </c>
      <c r="G7" s="50" t="inlineStr">
        <is>
          <t>Ni začeto</t>
        </is>
      </c>
      <c r="H7" s="50" t="inlineStr">
        <is>
          <t>Vzhodni krak ni del osnovne 12-km trase.</t>
        </is>
      </c>
    </row>
    <row r="8">
      <c r="A8" s="50" t="n">
        <v>5</v>
      </c>
      <c r="B8" s="50" t="inlineStr">
        <is>
          <t>Žabja vas – Gotna vas</t>
        </is>
      </c>
      <c r="C8" s="50" t="inlineStr">
        <is>
          <t>Žabja vas, Grm, Kandija</t>
        </is>
      </c>
      <c r="D8" s="50">
        <f>COUNTIF('MASTER 50'!$B$5:$B$54,A8)</f>
        <v/>
      </c>
      <c r="E8" s="50" t="inlineStr">
        <is>
          <t>–</t>
        </is>
      </c>
      <c r="F8" s="50" t="inlineStr">
        <is>
          <t>Ni začeto</t>
        </is>
      </c>
      <c r="G8" s="50" t="inlineStr">
        <is>
          <t>Ni začeto</t>
        </is>
      </c>
      <c r="H8" s="50" t="inlineStr">
        <is>
          <t>Močna pedagoška etapa z več šolskimi in civilnimi zgodbami.</t>
        </is>
      </c>
    </row>
    <row r="9">
      <c r="A9" s="50" t="n">
        <v>6</v>
      </c>
      <c r="B9" s="50" t="inlineStr">
        <is>
          <t>Gotna vas – Šmihel</t>
        </is>
      </c>
      <c r="C9" s="50" t="inlineStr">
        <is>
          <t>Gotna vas, Šmihel</t>
        </is>
      </c>
      <c r="D9" s="50">
        <f>COUNTIF('MASTER 50'!$B$5:$B$54,A9)</f>
        <v/>
      </c>
      <c r="E9" s="50" t="inlineStr">
        <is>
          <t>–</t>
        </is>
      </c>
      <c r="F9" s="50" t="inlineStr">
        <is>
          <t>Ni začeto</t>
        </is>
      </c>
      <c r="G9" s="50" t="inlineStr">
        <is>
          <t>Ni začeto</t>
        </is>
      </c>
      <c r="H9" s="50" t="inlineStr">
        <is>
          <t>Pokopališče Šmihel je možno obravnavati kot en sklop ali več ločenih točk.</t>
        </is>
      </c>
    </row>
    <row r="10">
      <c r="A10" s="50" t="n">
        <v>7</v>
      </c>
      <c r="B10" s="50" t="inlineStr">
        <is>
          <t>Šmihel – Drska</t>
        </is>
      </c>
      <c r="C10" s="50" t="inlineStr">
        <is>
          <t>Drska</t>
        </is>
      </c>
      <c r="D10" s="50">
        <f>COUNTIF('MASTER 50'!$B$5:$B$54,A10)</f>
        <v/>
      </c>
      <c r="E10" s="50" t="inlineStr">
        <is>
          <t>–</t>
        </is>
      </c>
      <c r="F10" s="50" t="inlineStr">
        <is>
          <t>Ni začeto</t>
        </is>
      </c>
      <c r="G10" s="50" t="inlineStr">
        <is>
          <t>Ni začeto</t>
        </is>
      </c>
      <c r="H10" s="50" t="inlineStr">
        <is>
          <t>Ključna točka: bunker in interpretacija mesta v žici.</t>
        </is>
      </c>
    </row>
    <row r="11">
      <c r="A11" s="50" t="n">
        <v>8</v>
      </c>
      <c r="B11" s="50" t="inlineStr">
        <is>
          <t>Drska – Loka</t>
        </is>
      </c>
      <c r="C11" s="50" t="inlineStr">
        <is>
          <t>Mestno jedro</t>
        </is>
      </c>
      <c r="D11" s="50">
        <f>COUNTIF('MASTER 50'!$B$5:$B$54,A11)</f>
        <v/>
      </c>
      <c r="E11" s="50" t="inlineStr">
        <is>
          <t>–</t>
        </is>
      </c>
      <c r="F11" s="50" t="inlineStr">
        <is>
          <t>Ni začeto</t>
        </is>
      </c>
      <c r="G11" s="50" t="inlineStr">
        <is>
          <t>Ni začeto</t>
        </is>
      </c>
      <c r="H11" s="50" t="inlineStr">
        <is>
          <t>Najgostejši sklop mestnih spominskih točk.</t>
        </is>
      </c>
    </row>
  </sheetData>
  <mergeCells count="1">
    <mergeCell ref="A1:H1"/>
  </mergeCells>
  <dataValidations count="1">
    <dataValidation sqref="F4:G11" showDropDown="0" showInputMessage="0" showErrorMessage="0" allowBlank="0" type="list">
      <formula1>Šifranti!$A$2:$A$6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4" max="4"/>
    <col width="12" customWidth="1" min="5" max="5"/>
    <col width="28" customWidth="1" min="7" max="7"/>
    <col width="12" customWidth="1" min="8" max="8"/>
  </cols>
  <sheetData>
    <row r="1">
      <c r="A1" s="8" t="inlineStr">
        <is>
          <t>AKTIVNOST 1 – NADZORNA PLOŠČA DIGITALIZACIJE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9" t="inlineStr">
        <is>
          <t>Kazalnik</t>
        </is>
      </c>
      <c r="B3" s="19" t="inlineStr">
        <is>
          <t>Vrednost</t>
        </is>
      </c>
      <c r="D3" s="19" t="inlineStr">
        <is>
          <t>Etapa</t>
        </is>
      </c>
      <c r="E3" s="19" t="inlineStr">
        <is>
          <t>Št. točk</t>
        </is>
      </c>
      <c r="G3" s="19" t="inlineStr">
        <is>
          <t>Status izvedbe</t>
        </is>
      </c>
      <c r="H3" s="19" t="inlineStr">
        <is>
          <t>Št.</t>
        </is>
      </c>
    </row>
    <row r="4">
      <c r="A4" t="inlineStr">
        <is>
          <t>Skupaj obeležij</t>
        </is>
      </c>
      <c r="B4">
        <f>COUNTA('MASTER 50'!A5:A54)</f>
        <v/>
      </c>
      <c r="D4" t="n">
        <v>1</v>
      </c>
      <c r="E4">
        <f>COUNTIF('MASTER 50'!$B$5:$B$54,D4)</f>
        <v/>
      </c>
      <c r="G4" t="inlineStr">
        <is>
          <t>Predlog – preveriti</t>
        </is>
      </c>
      <c r="H4">
        <f>COUNTIF('MASTER 50'!$AD$5:$AD$54,G4)</f>
        <v/>
      </c>
    </row>
    <row r="5">
      <c r="A5" t="inlineStr">
        <is>
          <t>GPS terensko/GIS preverjen</t>
        </is>
      </c>
      <c r="B5">
        <f>COUNTIF('MASTER 50'!J5:J54,"Terensko izmerjeno")+COUNTIF('MASTER 50'!J5:J54,"Preverjeno v GIS")</f>
        <v/>
      </c>
      <c r="D5" t="n">
        <v>2</v>
      </c>
      <c r="E5">
        <f>COUNTIF('MASTER 50'!$B$5:$B$54,D5)</f>
        <v/>
      </c>
      <c r="G5" t="inlineStr">
        <is>
          <t>Potrjeno za vključitev</t>
        </is>
      </c>
      <c r="H5">
        <f>COUNTIF('MASTER 50'!$AD$5:$AD$54,G5)</f>
        <v/>
      </c>
    </row>
    <row r="6">
      <c r="A6" t="inlineStr">
        <is>
          <t>EŠD vpisan</t>
        </is>
      </c>
      <c r="B6">
        <f>COUNTIF('MASTER 50'!L5:L54,"Vpisano")</f>
        <v/>
      </c>
      <c r="D6" t="n">
        <v>3</v>
      </c>
      <c r="E6">
        <f>COUNTIF('MASTER 50'!$B$5:$B$54,D6)</f>
        <v/>
      </c>
      <c r="G6" t="inlineStr">
        <is>
          <t>Terenski popis</t>
        </is>
      </c>
      <c r="H6">
        <f>COUNTIF('MASTER 50'!$AD$5:$AD$54,G6)</f>
        <v/>
      </c>
    </row>
    <row r="7">
      <c r="A7" t="inlineStr">
        <is>
          <t>Današnja foto končana</t>
        </is>
      </c>
      <c r="B7">
        <f>COUNTIF('MASTER 50'!Q5:Q54,"Končano")</f>
        <v/>
      </c>
      <c r="D7" t="n">
        <v>4</v>
      </c>
      <c r="E7">
        <f>COUNTIF('MASTER 50'!$B$5:$B$54,D7)</f>
        <v/>
      </c>
      <c r="G7" t="inlineStr">
        <is>
          <t>V pripravi vsebin</t>
        </is>
      </c>
      <c r="H7">
        <f>COUNTIF('MASTER 50'!$AD$5:$AD$54,G7)</f>
        <v/>
      </c>
    </row>
    <row r="8">
      <c r="A8" t="inlineStr">
        <is>
          <t>Kratko besedilo končano</t>
        </is>
      </c>
      <c r="B8">
        <f>COUNTIF('MASTER 50'!T5:T54,"Končano")</f>
        <v/>
      </c>
      <c r="D8" t="n">
        <v>5</v>
      </c>
      <c r="E8">
        <f>COUNTIF('MASTER 50'!$B$5:$B$54,D8)</f>
        <v/>
      </c>
      <c r="G8" t="inlineStr">
        <is>
          <t>V tehnični pripravi</t>
        </is>
      </c>
      <c r="H8">
        <f>COUNTIF('MASTER 50'!$AD$5:$AD$54,G8)</f>
        <v/>
      </c>
    </row>
    <row r="9">
      <c r="A9" t="inlineStr">
        <is>
          <t>Kviz končan</t>
        </is>
      </c>
      <c r="B9">
        <f>COUNTIF('MASTER 50'!X5:X54,"Končano")</f>
        <v/>
      </c>
      <c r="D9" t="n">
        <v>6</v>
      </c>
      <c r="E9">
        <f>COUNTIF('MASTER 50'!$B$5:$B$54,D9)</f>
        <v/>
      </c>
      <c r="G9" t="inlineStr">
        <is>
          <t>Objavljeno</t>
        </is>
      </c>
      <c r="H9">
        <f>COUNTIF('MASTER 50'!$AD$5:$AD$54,G9)</f>
        <v/>
      </c>
    </row>
    <row r="10">
      <c r="A10" t="inlineStr">
        <is>
          <t>QR generiran</t>
        </is>
      </c>
      <c r="B10">
        <f>COUNTIF('MASTER 50'!Z5:Z54,"Da")</f>
        <v/>
      </c>
      <c r="D10" t="n">
        <v>7</v>
      </c>
      <c r="E10">
        <f>COUNTIF('MASTER 50'!$B$5:$B$54,D10)</f>
        <v/>
      </c>
      <c r="G10" t="inlineStr">
        <is>
          <t>Izločeno / zamenjano</t>
        </is>
      </c>
      <c r="H10">
        <f>COUNTIF('MASTER 50'!$AD$5:$AD$54,G10)</f>
        <v/>
      </c>
    </row>
    <row r="11">
      <c r="A11" t="inlineStr">
        <is>
          <t>QR tablica nameščena</t>
        </is>
      </c>
      <c r="B11">
        <f>COUNTIF('MASTER 50'!AA5:AA54,"Da")</f>
        <v/>
      </c>
      <c r="D11" t="n">
        <v>8</v>
      </c>
      <c r="E11">
        <f>COUNTIF('MASTER 50'!$B$5:$B$54,D11)</f>
        <v/>
      </c>
    </row>
    <row r="12">
      <c r="A12" t="inlineStr">
        <is>
          <t>Objavljeno</t>
        </is>
      </c>
      <c r="B12">
        <f>COUNTIF('MASTER 50'!AD5:AD54,"Objavljeno")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92" customWidth="1" min="3" max="3"/>
  </cols>
  <sheetData>
    <row r="1">
      <c r="A1" s="8" t="inlineStr">
        <is>
          <t>NAVODILA ZA UPORABO MASTER EVIDENCE</t>
        </is>
      </c>
      <c r="B1" s="1" t="n"/>
      <c r="C1" s="1" t="n"/>
      <c r="D1" s="1" t="n"/>
      <c r="E1" s="1" t="n"/>
      <c r="F1" s="1" t="n"/>
    </row>
    <row r="3">
      <c r="A3" s="20" t="inlineStr">
        <is>
          <t>Korak</t>
        </is>
      </c>
      <c r="B3" s="20" t="inlineStr">
        <is>
          <t>Kaj naredimo</t>
        </is>
      </c>
      <c r="C3" s="20" t="inlineStr">
        <is>
          <t>Pravilo</t>
        </is>
      </c>
    </row>
    <row r="4">
      <c r="A4" s="50" t="inlineStr">
        <is>
          <t>1</t>
        </is>
      </c>
      <c r="B4" s="50" t="inlineStr">
        <is>
          <t>Terenski popis vseh 50 kandidatov</t>
        </is>
      </c>
      <c r="C4" s="50" t="inlineStr">
        <is>
          <t>Vpiši GPS lat/lon, fotografiraj stanje, preveri fizični dostop in možnost QR tablice.</t>
        </is>
      </c>
    </row>
    <row r="5">
      <c r="A5" s="50" t="inlineStr">
        <is>
          <t>2</t>
        </is>
      </c>
      <c r="B5" s="50" t="inlineStr">
        <is>
          <t>Preverjanje naziva in EŠD</t>
        </is>
      </c>
      <c r="C5" s="50" t="inlineStr">
        <is>
          <t>Pred izdelavo vsebine potrdi uradni naziv, EŠD in tip dediščine v RKD/ZVKDS oziroma pri strokovnem partnerju.</t>
        </is>
      </c>
    </row>
    <row r="6">
      <c r="A6" s="50" t="inlineStr">
        <is>
          <t>3</t>
        </is>
      </c>
      <c r="B6" s="50" t="inlineStr">
        <is>
          <t>Izbor končnih 50</t>
        </is>
      </c>
      <c r="C6" s="50" t="inlineStr">
        <is>
          <t>Status 'Potrjeno za vključitev' pomeni, da točka ostane v projektu. Izločene točke se zamenjajo, ID pa se ne reciklira brez zapisa v opombi.</t>
        </is>
      </c>
    </row>
    <row r="7">
      <c r="A7" s="50" t="inlineStr">
        <is>
          <t>4</t>
        </is>
      </c>
      <c r="B7" s="50" t="inlineStr">
        <is>
          <t>Fotografije</t>
        </is>
      </c>
      <c r="C7" s="50" t="inlineStr">
        <is>
          <t>Za vsako točko ciljaj najmanj 1 kakovostno današnjo fotografijo in, kjer je mogoče, 1 arhivsko. Evidentiraj pravice.</t>
        </is>
      </c>
    </row>
    <row r="8">
      <c r="A8" s="50" t="inlineStr">
        <is>
          <t>5</t>
        </is>
      </c>
      <c r="B8" s="50" t="inlineStr">
        <is>
          <t>Vsebine</t>
        </is>
      </c>
      <c r="C8" s="50" t="inlineStr">
        <is>
          <t>Minimalni paket: kratko besedilo 800–1200 znakov, poglobljeno besedilo, video, avdio/podkast in kviz s 5 vprašanji.</t>
        </is>
      </c>
    </row>
    <row r="9">
      <c r="A9" s="50" t="inlineStr">
        <is>
          <t>6</t>
        </is>
      </c>
      <c r="B9" s="50" t="inlineStr">
        <is>
          <t>QR</t>
        </is>
      </c>
      <c r="C9" s="50" t="inlineStr">
        <is>
          <t>QR URL se avtomatsko sestavi iz osnovnega URL v zavihku Nastavitve + ID točke. Osnovni URL lahko kasneje zamenjaš.</t>
        </is>
      </c>
    </row>
    <row r="10">
      <c r="A10" s="50" t="inlineStr">
        <is>
          <t>7</t>
        </is>
      </c>
      <c r="B10" s="50" t="inlineStr">
        <is>
          <t>Strokovna verifikacija</t>
        </is>
      </c>
      <c r="C10" s="50" t="inlineStr">
        <is>
          <t>Pred objavo naj točko pregleda vsebinski/strokovni partner (npr. Dolenjski muzej/ZVKDS glede na dogovor).</t>
        </is>
      </c>
    </row>
    <row r="11">
      <c r="A11" s="50" t="inlineStr">
        <is>
          <t>8</t>
        </is>
      </c>
      <c r="B11" s="50" t="inlineStr">
        <is>
          <t>Objava</t>
        </is>
      </c>
      <c r="C11" s="50" t="inlineStr">
        <is>
          <t>Status 'Objavljeno' šele, ko je vsebina javna, QR testiran in dokazila arhivirana.</t>
        </is>
      </c>
    </row>
    <row r="12">
      <c r="A12" s="50" t="inlineStr">
        <is>
          <t>9</t>
        </is>
      </c>
      <c r="B12" s="50" t="inlineStr">
        <is>
          <t>Etape</t>
        </is>
      </c>
      <c r="C12" s="50" t="inlineStr">
        <is>
          <t>Razporeditev po 8 etapah je V1. Satelitski kraki so pripisani najbližji operativni etapi in zahtevajo GIS/terensko potrditev.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2026-09-08T10:23:06Z</dcterms:created>
  <dcterms:modified xmlns:dcterms="http://purl.org/dc/terms/" xmlns:xsi="http://www.w3.org/2001/XMLSchema-instance" xsi:type="dcterms:W3CDTF">2026-09-08T10:23:06Z</dcterms:modified>
</cp:coreProperties>
</file>